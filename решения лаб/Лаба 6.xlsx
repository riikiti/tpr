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8400" windowHeight="17628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K9" i="1"/>
  <c r="I32" i="1" l="1"/>
  <c r="J32" i="1"/>
  <c r="K32" i="1"/>
  <c r="I33" i="1"/>
  <c r="J33" i="1"/>
  <c r="K33" i="1"/>
  <c r="I34" i="1"/>
  <c r="J34" i="1"/>
  <c r="K34" i="1"/>
  <c r="F9" i="1"/>
  <c r="U11" i="1" l="1"/>
  <c r="L22" i="1"/>
  <c r="M22" i="1"/>
  <c r="M25" i="1" s="1"/>
  <c r="M32" i="1" s="1"/>
  <c r="N22" i="1"/>
  <c r="O22" i="1"/>
  <c r="K22" i="1"/>
  <c r="O14" i="1"/>
  <c r="C27" i="1" s="1"/>
  <c r="N14" i="1"/>
  <c r="C26" i="1" s="1"/>
  <c r="M14" i="1"/>
  <c r="C25" i="1" s="1"/>
  <c r="L14" i="1"/>
  <c r="K14" i="1"/>
  <c r="C23" i="1" s="1"/>
  <c r="O6" i="1"/>
  <c r="N6" i="1"/>
  <c r="M6" i="1"/>
  <c r="L6" i="1"/>
  <c r="C16" i="1" s="1"/>
  <c r="K6" i="1"/>
  <c r="C15" i="1" s="1"/>
  <c r="C24" i="1"/>
  <c r="G17" i="1"/>
  <c r="U10" i="1" l="1"/>
  <c r="T11" i="1"/>
  <c r="L23" i="1"/>
  <c r="L24" i="1"/>
  <c r="K23" i="1"/>
  <c r="K24" i="1"/>
  <c r="K15" i="1"/>
  <c r="E23" i="1"/>
  <c r="E24" i="1"/>
  <c r="D23" i="1"/>
  <c r="D24" i="1"/>
  <c r="H25" i="1"/>
  <c r="H23" i="1" s="1"/>
  <c r="G25" i="1"/>
  <c r="G24" i="1" s="1"/>
  <c r="F25" i="1"/>
  <c r="J24" i="1"/>
  <c r="J23" i="1"/>
  <c r="O25" i="1"/>
  <c r="O32" i="1" s="1"/>
  <c r="N25" i="1"/>
  <c r="M23" i="1"/>
  <c r="H18" i="1"/>
  <c r="G18" i="1"/>
  <c r="F18" i="1"/>
  <c r="D16" i="1"/>
  <c r="H16" i="1"/>
  <c r="H15" i="1"/>
  <c r="D15" i="1"/>
  <c r="G7" i="1"/>
  <c r="H7" i="1"/>
  <c r="G8" i="1"/>
  <c r="H8" i="1"/>
  <c r="J7" i="1"/>
  <c r="J8" i="1"/>
  <c r="H11" i="1"/>
  <c r="G11" i="1"/>
  <c r="F11" i="1"/>
  <c r="G10" i="1"/>
  <c r="F10" i="1"/>
  <c r="E10" i="1"/>
  <c r="F7" i="1"/>
  <c r="E9" i="1"/>
  <c r="E8" i="1" s="1"/>
  <c r="D9" i="1"/>
  <c r="D7" i="1" s="1"/>
  <c r="J16" i="1"/>
  <c r="G15" i="1"/>
  <c r="F17" i="1"/>
  <c r="F16" i="1" s="1"/>
  <c r="E17" i="1"/>
  <c r="E15" i="1" s="1"/>
  <c r="J9" i="1"/>
  <c r="J10" i="1"/>
  <c r="J11" i="1"/>
  <c r="C17" i="1"/>
  <c r="J17" i="1" s="1"/>
  <c r="C18" i="1"/>
  <c r="J18" i="1" s="1"/>
  <c r="M18" i="1" s="1"/>
  <c r="M33" i="1" s="1"/>
  <c r="J27" i="1"/>
  <c r="J15" i="1"/>
  <c r="N32" i="1" l="1"/>
  <c r="S32" i="1" s="1"/>
  <c r="G23" i="1"/>
  <c r="L11" i="1"/>
  <c r="M11" i="1"/>
  <c r="M34" i="1" s="1"/>
  <c r="F23" i="1"/>
  <c r="U9" i="1"/>
  <c r="N23" i="1"/>
  <c r="F24" i="1"/>
  <c r="N10" i="1"/>
  <c r="O23" i="1"/>
  <c r="O24" i="1"/>
  <c r="O18" i="1"/>
  <c r="O33" i="1" s="1"/>
  <c r="M17" i="1"/>
  <c r="K8" i="1"/>
  <c r="E7" i="1"/>
  <c r="N17" i="1"/>
  <c r="J25" i="1"/>
  <c r="H24" i="1"/>
  <c r="N24" i="1"/>
  <c r="K11" i="1"/>
  <c r="J26" i="1"/>
  <c r="M24" i="1"/>
  <c r="G16" i="1"/>
  <c r="N18" i="1"/>
  <c r="N33" i="1" s="1"/>
  <c r="T32" i="1" s="1"/>
  <c r="D8" i="1"/>
  <c r="E16" i="1"/>
  <c r="L17" i="1"/>
  <c r="L16" i="1" s="1"/>
  <c r="L9" i="1"/>
  <c r="L7" i="1" s="1"/>
  <c r="L10" i="1"/>
  <c r="F15" i="1"/>
  <c r="N11" i="1"/>
  <c r="N34" i="1" s="1"/>
  <c r="F8" i="1"/>
  <c r="O9" i="1"/>
  <c r="M9" i="1"/>
  <c r="N9" i="1"/>
  <c r="O10" i="1"/>
  <c r="C19" i="1"/>
  <c r="J19" i="1" s="1"/>
  <c r="M10" i="1"/>
  <c r="O11" i="1"/>
  <c r="O34" i="1" s="1"/>
  <c r="U32" i="1" l="1"/>
  <c r="S33" i="1" s="1"/>
  <c r="S11" i="1"/>
  <c r="V11" i="1" s="1"/>
  <c r="T10" i="1"/>
  <c r="U7" i="1"/>
  <c r="L8" i="1"/>
  <c r="K7" i="1"/>
  <c r="U8" i="1"/>
  <c r="L15" i="1"/>
  <c r="T9" i="1"/>
  <c r="S10" i="1"/>
  <c r="S9" i="1"/>
  <c r="N15" i="1"/>
  <c r="N16" i="1"/>
  <c r="O15" i="1"/>
  <c r="O16" i="1"/>
  <c r="O7" i="1"/>
  <c r="O8" i="1"/>
  <c r="N7" i="1"/>
  <c r="N8" i="1"/>
  <c r="M16" i="1"/>
  <c r="M15" i="1"/>
  <c r="M7" i="1"/>
  <c r="M8" i="1"/>
  <c r="K16" i="1"/>
  <c r="U33" i="1" l="1"/>
  <c r="T33" i="1"/>
  <c r="S8" i="1"/>
  <c r="S7" i="1"/>
  <c r="V10" i="1"/>
  <c r="AC6" i="1" s="1"/>
  <c r="AD6" i="1"/>
  <c r="W11" i="1"/>
  <c r="T7" i="1"/>
  <c r="V9" i="1"/>
  <c r="AB6" i="1" s="1"/>
  <c r="T8" i="1"/>
  <c r="S34" i="1" l="1"/>
  <c r="U34" i="1"/>
  <c r="T34" i="1"/>
  <c r="V7" i="1"/>
  <c r="W10" i="1"/>
  <c r="W9" i="1"/>
  <c r="V8" i="1"/>
  <c r="W8" i="1" s="1"/>
  <c r="AA6" i="1" l="1"/>
  <c r="Z6" i="1"/>
  <c r="W7" i="1"/>
  <c r="S19" i="1" l="1"/>
  <c r="T17" i="1"/>
  <c r="S15" i="1"/>
  <c r="S16" i="1"/>
  <c r="S18" i="1"/>
  <c r="T18" i="1"/>
  <c r="U17" i="1"/>
  <c r="U19" i="1"/>
  <c r="U18" i="1"/>
  <c r="S17" i="1"/>
  <c r="U16" i="1"/>
  <c r="T19" i="1"/>
  <c r="T15" i="1"/>
  <c r="U15" i="1"/>
  <c r="T16" i="1"/>
  <c r="V18" i="1" l="1"/>
  <c r="W18" i="1" s="1"/>
  <c r="V19" i="1"/>
  <c r="AD14" i="1" s="1"/>
  <c r="V15" i="1"/>
  <c r="Z14" i="1" s="1"/>
  <c r="V16" i="1"/>
  <c r="AA14" i="1" s="1"/>
  <c r="V17" i="1"/>
  <c r="AB14" i="1" s="1"/>
  <c r="AC14" i="1" l="1"/>
  <c r="U25" i="1" s="1"/>
  <c r="W15" i="1"/>
  <c r="W19" i="1"/>
  <c r="W16" i="1"/>
  <c r="S27" i="1"/>
  <c r="W17" i="1"/>
  <c r="U24" i="1" l="1"/>
  <c r="S24" i="1"/>
  <c r="T24" i="1"/>
  <c r="S23" i="1"/>
  <c r="U26" i="1"/>
  <c r="S26" i="1"/>
  <c r="S25" i="1"/>
  <c r="T26" i="1"/>
  <c r="T25" i="1"/>
  <c r="T27" i="1"/>
  <c r="T23" i="1"/>
  <c r="U23" i="1"/>
  <c r="U27" i="1"/>
  <c r="V24" i="1" l="1"/>
  <c r="W24" i="1" s="1"/>
  <c r="V25" i="1"/>
  <c r="W25" i="1" s="1"/>
  <c r="V26" i="1"/>
  <c r="W26" i="1" s="1"/>
  <c r="V27" i="1"/>
  <c r="W27" i="1" s="1"/>
  <c r="V23" i="1"/>
  <c r="W23" i="1" s="1"/>
</calcChain>
</file>

<file path=xl/sharedStrings.xml><?xml version="1.0" encoding="utf-8"?>
<sst xmlns="http://schemas.openxmlformats.org/spreadsheetml/2006/main" count="53" uniqueCount="35">
  <si>
    <t>A</t>
  </si>
  <si>
    <t>B</t>
  </si>
  <si>
    <t>C</t>
  </si>
  <si>
    <t>D</t>
  </si>
  <si>
    <r>
      <t>p</t>
    </r>
    <r>
      <rPr>
        <vertAlign val="subscript"/>
        <sz val="14"/>
        <color theme="1"/>
        <rFont val="Times New Roman"/>
        <family val="1"/>
        <charset val="204"/>
      </rPr>
      <t>0</t>
    </r>
  </si>
  <si>
    <r>
      <t>p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1"/>
        <color theme="1"/>
        <rFont val="Times New Roman"/>
        <family val="2"/>
        <charset val="204"/>
      </rPr>
      <t/>
    </r>
  </si>
  <si>
    <r>
      <t>p</t>
    </r>
    <r>
      <rPr>
        <vertAlign val="subscript"/>
        <sz val="14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2"/>
        <charset val="204"/>
      </rPr>
      <t/>
    </r>
  </si>
  <si>
    <t>Поддерживать запас на уровне 2 ед.</t>
  </si>
  <si>
    <r>
      <t>x</t>
    </r>
    <r>
      <rPr>
        <vertAlign val="subscript"/>
        <sz val="14"/>
        <color theme="1"/>
        <rFont val="Times New Roman"/>
        <family val="1"/>
        <charset val="204"/>
      </rPr>
      <t>i</t>
    </r>
    <r>
      <rPr>
        <vertAlign val="superscript"/>
        <sz val="14"/>
        <color theme="1"/>
        <rFont val="Times New Roman"/>
        <family val="1"/>
        <charset val="204"/>
      </rPr>
      <t>3</t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</si>
  <si>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i</t>
    </r>
    <r>
      <rPr>
        <sz val="14"/>
        <color theme="1"/>
        <rFont val="Times New Roman"/>
        <family val="1"/>
        <charset val="204"/>
      </rPr>
      <t>(x)</t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</si>
  <si>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i</t>
    </r>
    <r>
      <rPr>
        <vertAlign val="superscript"/>
        <sz val="14"/>
        <color theme="1"/>
        <rFont val="Times New Roman"/>
        <family val="1"/>
        <charset val="204"/>
      </rPr>
      <t>3</t>
    </r>
    <r>
      <rPr>
        <sz val="14"/>
        <color theme="1"/>
        <rFont val="Times New Roman"/>
        <family val="1"/>
        <charset val="204"/>
      </rPr>
      <t>*</t>
    </r>
  </si>
  <si>
    <r>
      <t>S</t>
    </r>
    <r>
      <rPr>
        <vertAlign val="subscript"/>
        <sz val="14"/>
        <color theme="1"/>
        <rFont val="Times New Roman"/>
        <family val="1"/>
        <charset val="204"/>
      </rPr>
      <t>i</t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</si>
  <si>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2"/>
        <charset val="204"/>
      </rPr>
      <t/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</si>
  <si>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0</t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</si>
  <si>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1"/>
        <color theme="1"/>
        <rFont val="Times New Roman"/>
        <family val="2"/>
        <charset val="204"/>
      </rPr>
      <t/>
    </r>
  </si>
  <si>
    <t>Стационарная стратегия</t>
  </si>
  <si>
    <r>
      <t>Λ</t>
    </r>
    <r>
      <rPr>
        <vertAlign val="subscript"/>
        <sz val="14"/>
        <color theme="1"/>
        <rFont val="Times New Roman"/>
        <family val="1"/>
        <charset val="204"/>
      </rPr>
      <t>3</t>
    </r>
    <r>
      <rPr>
        <sz val="14"/>
        <color theme="1"/>
        <rFont val="Times New Roman"/>
        <family val="1"/>
        <charset val="204"/>
      </rPr>
      <t>(i)</t>
    </r>
  </si>
  <si>
    <r>
      <t>Λ</t>
    </r>
    <r>
      <rPr>
        <vertAlign val="subscript"/>
        <sz val="14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>(i)</t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</si>
  <si>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i</t>
    </r>
    <r>
      <rPr>
        <vertAlign val="superscript"/>
        <sz val="14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>*</t>
    </r>
  </si>
  <si>
    <r>
      <t>Λ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>(i)</t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</si>
  <si>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i</t>
    </r>
    <r>
      <rPr>
        <vertAlign val="super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>*</t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</si>
  <si>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i</t>
    </r>
    <r>
      <rPr>
        <vertAlign val="superscript"/>
        <sz val="14"/>
        <color theme="1"/>
        <rFont val="Times New Roman"/>
        <family val="1"/>
        <charset val="204"/>
      </rPr>
      <t>2</t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</si>
  <si>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i</t>
    </r>
    <r>
      <rPr>
        <vertAlign val="superscript"/>
        <sz val="14"/>
        <color theme="1"/>
        <rFont val="Times New Roman"/>
        <family val="1"/>
        <charset val="204"/>
      </rPr>
      <t>1</t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</si>
  <si>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i</t>
    </r>
    <r>
      <rPr>
        <sz val="14"/>
        <color theme="1"/>
        <rFont val="Times New Roman"/>
        <family val="1"/>
        <charset val="204"/>
      </rPr>
      <t xml:space="preserve">(x) + </t>
    </r>
    <r>
      <rPr>
        <sz val="14"/>
        <color theme="1"/>
        <rFont val="Symbol"/>
        <family val="1"/>
        <charset val="2"/>
      </rPr>
      <t>S(</t>
    </r>
    <r>
      <rPr>
        <sz val="14"/>
        <color theme="1"/>
        <rFont val="Times New Roman"/>
        <family val="1"/>
        <charset val="204"/>
      </rPr>
      <t>p</t>
    </r>
    <r>
      <rPr>
        <vertAlign val="subscript"/>
        <sz val="14"/>
        <color theme="1"/>
        <rFont val="Times New Roman"/>
        <family val="1"/>
        <charset val="204"/>
      </rPr>
      <t>ik</t>
    </r>
    <r>
      <rPr>
        <sz val="14"/>
        <color theme="1"/>
        <rFont val="Times New Roman"/>
        <family val="1"/>
        <charset val="204"/>
      </rPr>
      <t>(x)*Λ</t>
    </r>
    <r>
      <rPr>
        <vertAlign val="subscript"/>
        <sz val="14"/>
        <color theme="1"/>
        <rFont val="Times New Roman"/>
        <family val="1"/>
        <charset val="204"/>
      </rPr>
      <t>3</t>
    </r>
    <r>
      <rPr>
        <sz val="14"/>
        <color theme="1"/>
        <rFont val="Times New Roman"/>
        <family val="1"/>
        <charset val="204"/>
      </rPr>
      <t>(k))</t>
    </r>
  </si>
  <si>
    <r>
      <t>v</t>
    </r>
    <r>
      <rPr>
        <vertAlign val="subscript"/>
        <sz val="14"/>
        <color theme="1"/>
        <rFont val="Times New Roman"/>
        <family val="1"/>
        <charset val="204"/>
      </rPr>
      <t>i</t>
    </r>
    <r>
      <rPr>
        <sz val="14"/>
        <color theme="1"/>
        <rFont val="Times New Roman"/>
        <family val="1"/>
        <charset val="204"/>
      </rPr>
      <t xml:space="preserve">(x) + </t>
    </r>
    <r>
      <rPr>
        <sz val="14"/>
        <color theme="1"/>
        <rFont val="Symbol"/>
        <family val="1"/>
        <charset val="2"/>
      </rPr>
      <t>S(</t>
    </r>
    <r>
      <rPr>
        <sz val="14"/>
        <color theme="1"/>
        <rFont val="Times New Roman"/>
        <family val="1"/>
        <charset val="204"/>
      </rPr>
      <t>p</t>
    </r>
    <r>
      <rPr>
        <vertAlign val="subscript"/>
        <sz val="14"/>
        <color theme="1"/>
        <rFont val="Times New Roman"/>
        <family val="1"/>
        <charset val="204"/>
      </rPr>
      <t>ik</t>
    </r>
    <r>
      <rPr>
        <sz val="14"/>
        <color theme="1"/>
        <rFont val="Times New Roman"/>
        <family val="1"/>
        <charset val="204"/>
      </rPr>
      <t>(x)*Λ</t>
    </r>
    <r>
      <rPr>
        <vertAlign val="subscript"/>
        <sz val="14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>(k))</t>
    </r>
  </si>
  <si>
    <r>
      <t>P</t>
    </r>
    <r>
      <rPr>
        <vertAlign val="subscript"/>
        <sz val="14"/>
        <color theme="1"/>
        <rFont val="Times New Roman"/>
        <family val="1"/>
        <charset val="204"/>
      </rPr>
      <t>1</t>
    </r>
  </si>
  <si>
    <r>
      <t>P</t>
    </r>
    <r>
      <rPr>
        <vertAlign val="subscript"/>
        <sz val="14"/>
        <color theme="1"/>
        <rFont val="Times New Roman"/>
        <family val="1"/>
        <charset val="204"/>
      </rPr>
      <t>2</t>
    </r>
  </si>
  <si>
    <r>
      <t>P</t>
    </r>
    <r>
      <rPr>
        <vertAlign val="subscript"/>
        <sz val="14"/>
        <color theme="1"/>
        <rFont val="Times New Roman"/>
        <family val="1"/>
        <charset val="204"/>
      </rPr>
      <t>3</t>
    </r>
  </si>
  <si>
    <r>
      <t>R</t>
    </r>
    <r>
      <rPr>
        <vertAlign val="subscript"/>
        <sz val="14"/>
        <color theme="1"/>
        <rFont val="Times New Roman"/>
        <family val="1"/>
        <charset val="204"/>
      </rPr>
      <t>1</t>
    </r>
  </si>
  <si>
    <r>
      <t>R</t>
    </r>
    <r>
      <rPr>
        <vertAlign val="subscript"/>
        <sz val="14"/>
        <color theme="1"/>
        <rFont val="Times New Roman"/>
        <family val="1"/>
        <charset val="204"/>
      </rPr>
      <t>2</t>
    </r>
  </si>
  <si>
    <r>
      <t>T</t>
    </r>
    <r>
      <rPr>
        <vertAlign val="subscript"/>
        <sz val="14"/>
        <color theme="1"/>
        <rFont val="Times New Roman"/>
        <family val="1"/>
        <charset val="204"/>
      </rPr>
      <t>2</t>
    </r>
  </si>
  <si>
    <r>
      <t>T</t>
    </r>
    <r>
      <rPr>
        <vertAlign val="subscript"/>
        <sz val="14"/>
        <color theme="1"/>
        <rFont val="Times New Roman"/>
        <family val="1"/>
        <charset val="204"/>
      </rPr>
      <t>1</t>
    </r>
  </si>
  <si>
    <r>
      <t>T</t>
    </r>
    <r>
      <rPr>
        <vertAlign val="subscript"/>
        <sz val="14"/>
        <color theme="1"/>
        <rFont val="Times New Roman"/>
        <family val="1"/>
        <charset val="204"/>
      </rPr>
      <t>0</t>
    </r>
  </si>
  <si>
    <t>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</si>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</sst>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vertAlign val="superscript"/>
      <sz val="14"/>
      <color theme="1"/>
      <name val="Times New Roman"/>
      <family val="1"/>
      <charset val="204"/>
    </font>
    <font>
      <sz val="14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rgb="FFFF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FF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/>
      <right/>
      <top style="medium">
        <color indexed="64"/>
      </top>
      <bottom style="medium">
        <color rgb="FFFF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15240</xdr:colOff>
      <xdr:row>4</xdr:row>
      <xdr:rowOff>7620</xdr:rowOff>
    </xdr:from>
    <xdr:to>
      <xdr:col>18</xdr:col>
      <xdr:colOff>0</xdr:colOff>
      <xdr:row>6</xdr:row>
      <xdr:rowOff>0</xdr:rowOff>
    </xdr:to>
    <xdr:cxnSp macro="">
      <xdr:nvCxnSpPr>
        <xdr:cNvPr id="7" name="Прямая соединительная линия 6"/>
        <xdr:cNvCxnSpPr/>
      </xdr:nvCxnSpPr>
      <xdr:spPr>
        <a:xfrm>
          <a:off x="12645390" y="1341120"/>
          <a:ext cx="727710" cy="52578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12</xdr:row>
      <xdr:rowOff>7620</xdr:rowOff>
    </xdr:from>
    <xdr:to>
      <xdr:col>18</xdr:col>
      <xdr:colOff>0</xdr:colOff>
      <xdr:row>14</xdr:row>
      <xdr:rowOff>0</xdr:rowOff>
    </xdr:to>
    <xdr:cxnSp macro="">
      <xdr:nvCxnSpPr>
        <xdr:cNvPr id="8" name="Прямая соединительная линия 7"/>
        <xdr:cNvCxnSpPr/>
      </xdr:nvCxnSpPr>
      <xdr:spPr>
        <a:xfrm>
          <a:off x="12645390" y="3474720"/>
          <a:ext cx="727710" cy="52578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</xdr:colOff>
      <xdr:row>20</xdr:row>
      <xdr:rowOff>7620</xdr:rowOff>
    </xdr:from>
    <xdr:to>
      <xdr:col>18</xdr:col>
      <xdr:colOff>0</xdr:colOff>
      <xdr:row>22</xdr:row>
      <xdr:rowOff>0</xdr:rowOff>
    </xdr:to>
    <xdr:cxnSp macro="">
      <xdr:nvCxnSpPr>
        <xdr:cNvPr id="13" name="Прямая соединительная линия 12"/>
        <xdr:cNvCxnSpPr/>
      </xdr:nvCxnSpPr>
      <xdr:spPr>
        <a:xfrm>
          <a:off x="12645390" y="5608320"/>
          <a:ext cx="727710" cy="52578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Views>
    <sheetView tabSelected="1" zoomScale="80" zoomScaleNormal="80" workbookViewId="0">
      <selection activeCell="R11" sqref="R11"/>
    </sheetView>
  </sheetViews>
  <sheetFormatPr defaultColWidth="10.6640625" defaultRowHeight="21" customHeight="1" x14ac:dyDescent="0.3"/>
  <cols>
    <col min="1" max="1" width="10.6640625" style="9"/>
    <col min="2" max="2" width="10.6640625" style="1"/>
    <col min="3" max="3" width="10.6640625" style="1" customWidth="1"/>
    <col min="4" max="9" width="10.6640625" style="1"/>
    <col min="10" max="10" width="10.6640625" style="1" customWidth="1"/>
    <col min="11" max="16384" width="10.6640625" style="1"/>
  </cols>
  <sheetData>
    <row r="1" spans="1:30" s="2" customFormat="1" ht="21" customHeight="1" thickBot="1" x14ac:dyDescent="0.35">
      <c r="A1" s="9"/>
    </row>
    <row r="2" spans="1:30" ht="21" customHeight="1" thickBot="1" x14ac:dyDescent="0.3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24" t="s">
        <v>15</v>
      </c>
      <c r="J2" s="24"/>
      <c r="K2" s="24"/>
      <c r="L2" s="24"/>
      <c r="N2" s="9"/>
      <c r="O2" s="9"/>
    </row>
    <row r="3" spans="1:30" ht="21" customHeight="1" thickBot="1" x14ac:dyDescent="0.35">
      <c r="B3" s="11">
        <v>65</v>
      </c>
      <c r="C3" s="11">
        <v>15</v>
      </c>
      <c r="D3" s="11">
        <v>45</v>
      </c>
      <c r="E3" s="11">
        <v>120</v>
      </c>
      <c r="F3" s="11">
        <v>0.2</v>
      </c>
      <c r="G3" s="11">
        <v>0.5</v>
      </c>
      <c r="H3" s="11">
        <v>0.3</v>
      </c>
      <c r="I3" s="25" t="s">
        <v>7</v>
      </c>
      <c r="J3" s="25"/>
      <c r="K3" s="25"/>
      <c r="L3" s="25"/>
      <c r="M3" s="9"/>
      <c r="N3" s="9"/>
      <c r="O3" s="9"/>
    </row>
    <row r="4" spans="1:30" ht="21" customHeight="1" thickBot="1" x14ac:dyDescent="0.35">
      <c r="R4" s="14"/>
    </row>
    <row r="5" spans="1:30" s="2" customFormat="1" ht="21" customHeight="1" thickBot="1" x14ac:dyDescent="0.35">
      <c r="A5" s="9"/>
      <c r="B5" s="9"/>
      <c r="C5" s="26" t="s">
        <v>25</v>
      </c>
      <c r="D5" s="26"/>
      <c r="E5" s="26"/>
      <c r="F5" s="26"/>
      <c r="G5" s="26"/>
      <c r="H5" s="26"/>
      <c r="J5" s="26" t="s">
        <v>28</v>
      </c>
      <c r="K5" s="26"/>
      <c r="L5" s="26"/>
      <c r="M5" s="26"/>
      <c r="N5" s="26"/>
      <c r="O5" s="26"/>
      <c r="Q5" s="15"/>
      <c r="R5" s="5" t="s">
        <v>8</v>
      </c>
      <c r="S5" s="27" t="s">
        <v>9</v>
      </c>
      <c r="T5" s="28"/>
      <c r="U5" s="29"/>
      <c r="V5" s="30" t="s">
        <v>16</v>
      </c>
      <c r="W5" s="30" t="s">
        <v>10</v>
      </c>
      <c r="X5" s="9"/>
    </row>
    <row r="6" spans="1:30" s="2" customFormat="1" ht="21" customHeight="1" thickBot="1" x14ac:dyDescent="0.35">
      <c r="A6" s="9"/>
      <c r="B6" s="26">
        <v>0</v>
      </c>
      <c r="C6" s="12" t="s">
        <v>11</v>
      </c>
      <c r="D6" s="8">
        <v>-2</v>
      </c>
      <c r="E6" s="8">
        <v>-1</v>
      </c>
      <c r="F6" s="8">
        <v>0</v>
      </c>
      <c r="G6" s="8">
        <v>1</v>
      </c>
      <c r="H6" s="8">
        <v>2</v>
      </c>
      <c r="J6" s="7" t="s">
        <v>11</v>
      </c>
      <c r="K6" s="8">
        <f>D$6</f>
        <v>-2</v>
      </c>
      <c r="L6" s="8">
        <f>E$6</f>
        <v>-1</v>
      </c>
      <c r="M6" s="8">
        <f>F$6</f>
        <v>0</v>
      </c>
      <c r="N6" s="8">
        <f>G$6</f>
        <v>1</v>
      </c>
      <c r="O6" s="8">
        <f>H$6</f>
        <v>2</v>
      </c>
      <c r="Q6" s="15"/>
      <c r="R6" s="4" t="s">
        <v>11</v>
      </c>
      <c r="S6" s="13" t="s">
        <v>13</v>
      </c>
      <c r="T6" s="13" t="s">
        <v>14</v>
      </c>
      <c r="U6" s="13" t="s">
        <v>12</v>
      </c>
      <c r="V6" s="31"/>
      <c r="W6" s="31"/>
      <c r="X6" s="9"/>
      <c r="Y6" s="6" t="s">
        <v>16</v>
      </c>
      <c r="Z6" s="3">
        <f>$V$7</f>
        <v>14.5</v>
      </c>
      <c r="AA6" s="3">
        <f>$V$8</f>
        <v>14.5</v>
      </c>
      <c r="AB6" s="3">
        <f>$V$9</f>
        <v>14.5</v>
      </c>
      <c r="AC6" s="3">
        <f>$V$10</f>
        <v>79.5</v>
      </c>
      <c r="AD6" s="3">
        <f>$V$11</f>
        <v>118.5</v>
      </c>
    </row>
    <row r="7" spans="1:30" s="2" customFormat="1" ht="21" customHeight="1" thickBot="1" x14ac:dyDescent="0.35">
      <c r="A7" s="9"/>
      <c r="B7" s="26"/>
      <c r="C7" s="6">
        <v>-2</v>
      </c>
      <c r="D7" s="3">
        <f>D$9</f>
        <v>0.3</v>
      </c>
      <c r="E7" s="3">
        <f t="shared" ref="E7:H8" si="0">E$9</f>
        <v>0.5</v>
      </c>
      <c r="F7" s="3">
        <f t="shared" si="0"/>
        <v>0.2</v>
      </c>
      <c r="G7" s="19">
        <f t="shared" si="0"/>
        <v>0</v>
      </c>
      <c r="H7" s="11">
        <f t="shared" si="0"/>
        <v>0</v>
      </c>
      <c r="J7" s="6">
        <f>$C7</f>
        <v>-2</v>
      </c>
      <c r="K7" s="3">
        <f>K$9</f>
        <v>-90</v>
      </c>
      <c r="L7" s="3">
        <f t="shared" ref="L7:O8" si="1">L$9</f>
        <v>-45</v>
      </c>
      <c r="M7" s="3">
        <f t="shared" si="1"/>
        <v>0</v>
      </c>
      <c r="N7" s="19">
        <f t="shared" si="1"/>
        <v>0</v>
      </c>
      <c r="O7" s="11">
        <f t="shared" si="1"/>
        <v>0</v>
      </c>
      <c r="Q7" s="15"/>
      <c r="R7" s="6">
        <v>-2</v>
      </c>
      <c r="S7" s="3">
        <f>SUMPRODUCT($D7:$H7,$K7:$O7)</f>
        <v>-49.5</v>
      </c>
      <c r="T7" s="3">
        <f>SUMPRODUCT($D15:$H15,$K15:$O15)</f>
        <v>14.5</v>
      </c>
      <c r="U7" s="3">
        <f>SUMPRODUCT($D23:$H23,$K23:$O23)</f>
        <v>-11.5</v>
      </c>
      <c r="V7" s="3">
        <f>MAX(S7:U7)</f>
        <v>14.5</v>
      </c>
      <c r="W7" s="3" t="str">
        <f>INDEX($S$6:$U$6,0,MATCH($V7,$S7:$U7,0))</f>
        <v>x1</v>
      </c>
      <c r="X7" s="9"/>
      <c r="Y7" s="9"/>
    </row>
    <row r="8" spans="1:30" ht="21" customHeight="1" thickBot="1" x14ac:dyDescent="0.35">
      <c r="B8" s="26"/>
      <c r="C8" s="6">
        <v>-1</v>
      </c>
      <c r="D8" s="3">
        <f>D$9</f>
        <v>0.3</v>
      </c>
      <c r="E8" s="3">
        <f t="shared" si="0"/>
        <v>0.5</v>
      </c>
      <c r="F8" s="3">
        <f t="shared" si="0"/>
        <v>0.2</v>
      </c>
      <c r="G8" s="19">
        <f t="shared" si="0"/>
        <v>0</v>
      </c>
      <c r="H8" s="11">
        <f t="shared" si="0"/>
        <v>0</v>
      </c>
      <c r="J8" s="6">
        <f>$C8</f>
        <v>-1</v>
      </c>
      <c r="K8" s="3">
        <f>K$9</f>
        <v>-90</v>
      </c>
      <c r="L8" s="3">
        <f t="shared" si="1"/>
        <v>-45</v>
      </c>
      <c r="M8" s="3">
        <f t="shared" si="1"/>
        <v>0</v>
      </c>
      <c r="N8" s="19">
        <f t="shared" si="1"/>
        <v>0</v>
      </c>
      <c r="O8" s="11">
        <f t="shared" si="1"/>
        <v>0</v>
      </c>
      <c r="Q8" s="9"/>
      <c r="R8" s="6">
        <v>-1</v>
      </c>
      <c r="S8" s="3">
        <f>SUMPRODUCT($D8:$H8,$K8:$O8)</f>
        <v>-49.5</v>
      </c>
      <c r="T8" s="3">
        <f>SUMPRODUCT($D16:$H16,$K16:$O16)</f>
        <v>14.5</v>
      </c>
      <c r="U8" s="3">
        <f>SUMPRODUCT($D24:$H24,$K24:$O24)</f>
        <v>-11.5</v>
      </c>
      <c r="V8" s="3">
        <f t="shared" ref="V8:V11" si="2">MAX(S8:U8)</f>
        <v>14.5</v>
      </c>
      <c r="W8" s="3" t="str">
        <f>INDEX($S$6:$U$6,0,MATCH($V8,$S8:$U8,0))</f>
        <v>x1</v>
      </c>
      <c r="X8" s="9"/>
    </row>
    <row r="9" spans="1:30" ht="21" customHeight="1" thickBot="1" x14ac:dyDescent="0.35">
      <c r="B9" s="26"/>
      <c r="C9" s="6">
        <v>0</v>
      </c>
      <c r="D9" s="3">
        <f>$H$3</f>
        <v>0.3</v>
      </c>
      <c r="E9" s="3">
        <f>$G$3</f>
        <v>0.5</v>
      </c>
      <c r="F9" s="3">
        <f>$F$3</f>
        <v>0.2</v>
      </c>
      <c r="G9" s="20">
        <v>0</v>
      </c>
      <c r="H9" s="11">
        <v>0</v>
      </c>
      <c r="I9" s="2"/>
      <c r="J9" s="6">
        <f>$C9</f>
        <v>0</v>
      </c>
      <c r="K9" s="3">
        <f>IF(($J9+ABS(K$6))&gt;2,
            0,
            IF($J9&lt;0,
                        $K$9,
                        $E$3*$J9 + $D$3*K$6))</f>
        <v>-90</v>
      </c>
      <c r="L9" s="3">
        <f t="shared" ref="K9:L11" si="3">IF(($J9+ABS(L$6))&gt;2,
            0,
            IF($J9&lt;0,
                        $K$9,
                        $E$3*$J9 + $D$3*L$6))</f>
        <v>-45</v>
      </c>
      <c r="M9" s="3">
        <f>$J9*$E$3</f>
        <v>0</v>
      </c>
      <c r="N9" s="20">
        <f t="shared" ref="N9:O11" si="4">IF($J9&lt;N$6,
            0,
            $E$3*($J9-N$6) - $C$3*N$6)</f>
        <v>0</v>
      </c>
      <c r="O9" s="11">
        <f t="shared" si="4"/>
        <v>0</v>
      </c>
      <c r="Q9" s="9"/>
      <c r="R9" s="6">
        <v>0</v>
      </c>
      <c r="S9" s="3">
        <f>SUMPRODUCT($D9:$H9,$K9:$O9)</f>
        <v>-49.5</v>
      </c>
      <c r="T9" s="3">
        <f>SUMPRODUCT($D17:$H17,$K17:$O17)</f>
        <v>14.5</v>
      </c>
      <c r="U9" s="3">
        <f>SUMPRODUCT($D25:$H25,$K25:$O25)</f>
        <v>-11.5</v>
      </c>
      <c r="V9" s="3">
        <f t="shared" si="2"/>
        <v>14.5</v>
      </c>
      <c r="W9" s="3" t="str">
        <f>INDEX($S$6:$U$6,0,MATCH($V9,$S9:$U9,0))</f>
        <v>x1</v>
      </c>
      <c r="X9" s="9"/>
    </row>
    <row r="10" spans="1:30" ht="21" customHeight="1" thickBot="1" x14ac:dyDescent="0.35">
      <c r="B10" s="26"/>
      <c r="C10" s="6">
        <v>1</v>
      </c>
      <c r="D10" s="21">
        <v>0</v>
      </c>
      <c r="E10" s="3">
        <f>$H$3</f>
        <v>0.3</v>
      </c>
      <c r="F10" s="3">
        <f>$G$3</f>
        <v>0.5</v>
      </c>
      <c r="G10" s="3">
        <f>$F$3</f>
        <v>0.2</v>
      </c>
      <c r="H10" s="20">
        <v>0</v>
      </c>
      <c r="J10" s="6">
        <f>$C10</f>
        <v>1</v>
      </c>
      <c r="K10" s="21">
        <f>IF(($J10+ABS(K$6))&gt;2,
            0,
            IF($J10&lt;0,
                        $K$9,
                        $E$3*$J10 + $D$3*K$6))</f>
        <v>0</v>
      </c>
      <c r="L10" s="3">
        <f t="shared" si="3"/>
        <v>75</v>
      </c>
      <c r="M10" s="3">
        <f>$J10*$E$3</f>
        <v>120</v>
      </c>
      <c r="N10" s="3">
        <f t="shared" si="4"/>
        <v>-15</v>
      </c>
      <c r="O10" s="20">
        <f t="shared" si="4"/>
        <v>0</v>
      </c>
      <c r="Q10" s="9"/>
      <c r="R10" s="6">
        <v>1</v>
      </c>
      <c r="S10" s="3">
        <f>SUMPRODUCT($D10:$H10,$K10:$O10)</f>
        <v>79.5</v>
      </c>
      <c r="T10" s="3">
        <f>SUMPRODUCT($D18:$H18,$K18:$O18)</f>
        <v>53.5</v>
      </c>
      <c r="U10" s="3">
        <f>SUMPRODUCT($D26:$H26,$K26:$O26)</f>
        <v>0</v>
      </c>
      <c r="V10" s="3">
        <f t="shared" si="2"/>
        <v>79.5</v>
      </c>
      <c r="W10" s="3" t="str">
        <f>INDEX($S$6:$U$6,0,MATCH($V10,$S10:$U10,0))</f>
        <v>x0</v>
      </c>
      <c r="X10" s="9"/>
    </row>
    <row r="11" spans="1:30" s="9" customFormat="1" ht="21" customHeight="1" thickBot="1" x14ac:dyDescent="0.35">
      <c r="B11" s="26"/>
      <c r="C11" s="6">
        <v>2</v>
      </c>
      <c r="D11" s="11">
        <v>0</v>
      </c>
      <c r="E11" s="21">
        <v>0</v>
      </c>
      <c r="F11" s="3">
        <f>$H$3</f>
        <v>0.3</v>
      </c>
      <c r="G11" s="3">
        <f>$G$3</f>
        <v>0.5</v>
      </c>
      <c r="H11" s="3">
        <f>$F$3</f>
        <v>0.2</v>
      </c>
      <c r="I11" s="1"/>
      <c r="J11" s="6">
        <f>$C11</f>
        <v>2</v>
      </c>
      <c r="K11" s="11">
        <f t="shared" si="3"/>
        <v>0</v>
      </c>
      <c r="L11" s="21">
        <f t="shared" si="3"/>
        <v>0</v>
      </c>
      <c r="M11" s="3">
        <f>$J11*$E$3</f>
        <v>240</v>
      </c>
      <c r="N11" s="3">
        <f t="shared" si="4"/>
        <v>105</v>
      </c>
      <c r="O11" s="3">
        <f t="shared" si="4"/>
        <v>-30</v>
      </c>
      <c r="R11" s="6">
        <v>2</v>
      </c>
      <c r="S11" s="3">
        <f>SUMPRODUCT($D11:$H11,$K11:$O11)</f>
        <v>118.5</v>
      </c>
      <c r="T11" s="3">
        <f>SUMPRODUCT($D19:$H19,$K19:$O19)</f>
        <v>0</v>
      </c>
      <c r="U11" s="3">
        <f>SUMPRODUCT($D27:$H27,$K27:$O27)</f>
        <v>0</v>
      </c>
      <c r="V11" s="3">
        <f t="shared" si="2"/>
        <v>118.5</v>
      </c>
      <c r="W11" s="3" t="str">
        <f>INDEX($S$6:$U$6,0,MATCH($V11,$S11:$U11,0))</f>
        <v>x0</v>
      </c>
    </row>
    <row r="12" spans="1:30" s="9" customFormat="1" ht="21" customHeight="1" thickBot="1" x14ac:dyDescent="0.35">
      <c r="R12" s="16"/>
      <c r="S12" s="10"/>
      <c r="T12" s="10"/>
      <c r="U12" s="10"/>
      <c r="V12" s="10"/>
      <c r="W12" s="10"/>
    </row>
    <row r="13" spans="1:30" ht="21" customHeight="1" thickBot="1" x14ac:dyDescent="0.35">
      <c r="C13" s="26" t="s">
        <v>26</v>
      </c>
      <c r="D13" s="26"/>
      <c r="E13" s="26"/>
      <c r="F13" s="26"/>
      <c r="G13" s="26"/>
      <c r="H13" s="26"/>
      <c r="J13" s="26" t="s">
        <v>29</v>
      </c>
      <c r="K13" s="26"/>
      <c r="L13" s="26"/>
      <c r="M13" s="26"/>
      <c r="N13" s="26"/>
      <c r="O13" s="26"/>
      <c r="Q13" s="15"/>
      <c r="R13" s="5" t="s">
        <v>21</v>
      </c>
      <c r="S13" s="27" t="s">
        <v>23</v>
      </c>
      <c r="T13" s="28"/>
      <c r="U13" s="29"/>
      <c r="V13" s="30" t="s">
        <v>17</v>
      </c>
      <c r="W13" s="30" t="s">
        <v>18</v>
      </c>
      <c r="X13" s="9"/>
    </row>
    <row r="14" spans="1:30" ht="21" customHeight="1" thickBot="1" x14ac:dyDescent="0.35">
      <c r="B14" s="26">
        <v>1</v>
      </c>
      <c r="C14" s="7" t="s">
        <v>11</v>
      </c>
      <c r="D14" s="8">
        <v>-2</v>
      </c>
      <c r="E14" s="8">
        <v>-1</v>
      </c>
      <c r="F14" s="8">
        <v>0</v>
      </c>
      <c r="G14" s="8">
        <v>1</v>
      </c>
      <c r="H14" s="8">
        <v>2</v>
      </c>
      <c r="I14" s="9"/>
      <c r="J14" s="7" t="s">
        <v>11</v>
      </c>
      <c r="K14" s="8">
        <f>D$14</f>
        <v>-2</v>
      </c>
      <c r="L14" s="8">
        <f>E$14</f>
        <v>-1</v>
      </c>
      <c r="M14" s="8">
        <f>F$14</f>
        <v>0</v>
      </c>
      <c r="N14" s="8">
        <f>G$14</f>
        <v>1</v>
      </c>
      <c r="O14" s="8">
        <f>H$14</f>
        <v>2</v>
      </c>
      <c r="Q14" s="15"/>
      <c r="R14" s="4" t="s">
        <v>11</v>
      </c>
      <c r="S14" s="13" t="s">
        <v>13</v>
      </c>
      <c r="T14" s="13" t="s">
        <v>14</v>
      </c>
      <c r="U14" s="13" t="s">
        <v>12</v>
      </c>
      <c r="V14" s="31"/>
      <c r="W14" s="31"/>
      <c r="Y14" s="6" t="s">
        <v>17</v>
      </c>
      <c r="Z14" s="3">
        <f>$V$15</f>
        <v>56.300000000000011</v>
      </c>
      <c r="AA14" s="3">
        <f>$V$16</f>
        <v>56.300000000000011</v>
      </c>
      <c r="AB14" s="3">
        <f>$V$17</f>
        <v>56.300000000000011</v>
      </c>
      <c r="AC14" s="3">
        <f>$V$18</f>
        <v>121.30000000000001</v>
      </c>
      <c r="AD14" s="3">
        <f>$V$19</f>
        <v>186.3</v>
      </c>
    </row>
    <row r="15" spans="1:30" s="9" customFormat="1" ht="21" customHeight="1" thickBot="1" x14ac:dyDescent="0.35">
      <c r="B15" s="26"/>
      <c r="C15" s="6">
        <f>$K$6</f>
        <v>-2</v>
      </c>
      <c r="D15" s="18">
        <f t="shared" ref="D15:H16" si="5">D$17</f>
        <v>0</v>
      </c>
      <c r="E15" s="3">
        <f t="shared" si="5"/>
        <v>0.3</v>
      </c>
      <c r="F15" s="3">
        <f t="shared" si="5"/>
        <v>0.5</v>
      </c>
      <c r="G15" s="3">
        <f t="shared" si="5"/>
        <v>0.2</v>
      </c>
      <c r="H15" s="19">
        <f t="shared" si="5"/>
        <v>0</v>
      </c>
      <c r="J15" s="6">
        <f>$C15</f>
        <v>-2</v>
      </c>
      <c r="K15" s="18">
        <f>K$17</f>
        <v>0</v>
      </c>
      <c r="L15" s="3">
        <f t="shared" ref="L15:O16" si="6">L$17</f>
        <v>10</v>
      </c>
      <c r="M15" s="3">
        <f t="shared" si="6"/>
        <v>55</v>
      </c>
      <c r="N15" s="3">
        <f t="shared" si="6"/>
        <v>-80</v>
      </c>
      <c r="O15" s="19">
        <f t="shared" si="6"/>
        <v>0</v>
      </c>
      <c r="Q15" s="15"/>
      <c r="R15" s="6">
        <v>-2</v>
      </c>
      <c r="S15" s="3">
        <f>SUMPRODUCT($D7:$H7,$Z$6:$AD$6) + S7</f>
        <v>-35</v>
      </c>
      <c r="T15" s="3">
        <f>SUMPRODUCT($D15:$H15,$Z$6:$AD$6) + T7</f>
        <v>42</v>
      </c>
      <c r="U15" s="3">
        <f>SUMPRODUCT($D23:$H23,$Z$6:$AD$6) + U7</f>
        <v>56.300000000000011</v>
      </c>
      <c r="V15" s="3">
        <f>MAX(S15:U15)</f>
        <v>56.300000000000011</v>
      </c>
      <c r="W15" s="3" t="str">
        <f>INDEX($S$14:$U$14,0,MATCH($V15,$S15:$U15,0))</f>
        <v>x2</v>
      </c>
    </row>
    <row r="16" spans="1:30" s="9" customFormat="1" ht="21" customHeight="1" thickBot="1" x14ac:dyDescent="0.35">
      <c r="B16" s="26"/>
      <c r="C16" s="6">
        <f>$L$6</f>
        <v>-1</v>
      </c>
      <c r="D16" s="18">
        <f t="shared" si="5"/>
        <v>0</v>
      </c>
      <c r="E16" s="3">
        <f t="shared" si="5"/>
        <v>0.3</v>
      </c>
      <c r="F16" s="3">
        <f t="shared" si="5"/>
        <v>0.5</v>
      </c>
      <c r="G16" s="3">
        <f t="shared" si="5"/>
        <v>0.2</v>
      </c>
      <c r="H16" s="19">
        <f t="shared" si="5"/>
        <v>0</v>
      </c>
      <c r="J16" s="6">
        <f t="shared" ref="J16" si="7">$C16</f>
        <v>-1</v>
      </c>
      <c r="K16" s="18">
        <f>K$17</f>
        <v>0</v>
      </c>
      <c r="L16" s="3">
        <f t="shared" si="6"/>
        <v>10</v>
      </c>
      <c r="M16" s="3">
        <f t="shared" si="6"/>
        <v>55</v>
      </c>
      <c r="N16" s="3">
        <f t="shared" si="6"/>
        <v>-80</v>
      </c>
      <c r="O16" s="19">
        <f t="shared" si="6"/>
        <v>0</v>
      </c>
      <c r="R16" s="6">
        <v>-1</v>
      </c>
      <c r="S16" s="3">
        <f>SUMPRODUCT($D8:$H8,$Z$6:$AD$6) + S8</f>
        <v>-35</v>
      </c>
      <c r="T16" s="3">
        <f>SUMPRODUCT($D16:$H16,$Z$6:$AD$6) + T8</f>
        <v>42</v>
      </c>
      <c r="U16" s="3">
        <f>SUMPRODUCT($D24:$H24,$Z$6:$AD$6) + U8</f>
        <v>56.300000000000011</v>
      </c>
      <c r="V16" s="3">
        <f t="shared" ref="V16:V19" si="8">MAX(S16:U16)</f>
        <v>56.300000000000011</v>
      </c>
      <c r="W16" s="3" t="str">
        <f>INDEX($S$14:$U$14,0,MATCH($V16,$S16:$U16,0))</f>
        <v>x2</v>
      </c>
    </row>
    <row r="17" spans="2:23" ht="21" customHeight="1" thickBot="1" x14ac:dyDescent="0.35">
      <c r="B17" s="26"/>
      <c r="C17" s="6">
        <f>$M$6</f>
        <v>0</v>
      </c>
      <c r="D17" s="18">
        <v>0</v>
      </c>
      <c r="E17" s="3">
        <f>H$3</f>
        <v>0.3</v>
      </c>
      <c r="F17" s="3">
        <f>G$3</f>
        <v>0.5</v>
      </c>
      <c r="G17" s="3">
        <f>F$3</f>
        <v>0.2</v>
      </c>
      <c r="H17" s="20">
        <v>0</v>
      </c>
      <c r="I17" s="9"/>
      <c r="J17" s="6">
        <f>$C17</f>
        <v>0</v>
      </c>
      <c r="K17" s="18">
        <v>0</v>
      </c>
      <c r="L17" s="3">
        <f>$E$3*(1+$J17) - 1*$B$3 + $D$3*L$14</f>
        <v>10</v>
      </c>
      <c r="M17" s="3">
        <f>$E$3*(1+$J17-M$14) - $B$3*1 - $C$3*M$14</f>
        <v>55</v>
      </c>
      <c r="N17" s="3">
        <f>$E$3*(1+$J17-N$14) - $B$3*1 - $C$3*N$14</f>
        <v>-80</v>
      </c>
      <c r="O17" s="20">
        <v>0</v>
      </c>
      <c r="Q17" s="9"/>
      <c r="R17" s="6">
        <v>0</v>
      </c>
      <c r="S17" s="3">
        <f>SUMPRODUCT($D9:$H9,$Z$6:$AD$6) + S9</f>
        <v>-35</v>
      </c>
      <c r="T17" s="3">
        <f>SUMPRODUCT($D17:$H17,$Z$6:$AD$6) + T9</f>
        <v>42</v>
      </c>
      <c r="U17" s="3">
        <f>SUMPRODUCT($D25:$H25,$Z$6:$AD$6) + U9</f>
        <v>56.300000000000011</v>
      </c>
      <c r="V17" s="3">
        <f t="shared" si="8"/>
        <v>56.300000000000011</v>
      </c>
      <c r="W17" s="3" t="str">
        <f>INDEX($S$14:$U$14,0,MATCH($V17,$S17:$U17,0))</f>
        <v>x2</v>
      </c>
    </row>
    <row r="18" spans="2:23" ht="21" customHeight="1" thickBot="1" x14ac:dyDescent="0.35">
      <c r="B18" s="26"/>
      <c r="C18" s="6">
        <f>$N$6</f>
        <v>1</v>
      </c>
      <c r="D18" s="11">
        <v>0</v>
      </c>
      <c r="E18" s="21">
        <v>0</v>
      </c>
      <c r="F18" s="3">
        <f>H$3</f>
        <v>0.3</v>
      </c>
      <c r="G18" s="3">
        <f>G$3</f>
        <v>0.5</v>
      </c>
      <c r="H18" s="3">
        <f>F$3</f>
        <v>0.2</v>
      </c>
      <c r="I18" s="9"/>
      <c r="J18" s="6">
        <f>$C18</f>
        <v>1</v>
      </c>
      <c r="K18" s="11">
        <v>0</v>
      </c>
      <c r="L18" s="21">
        <v>0</v>
      </c>
      <c r="M18" s="3">
        <f>$E$3*(1+$J18-M$14) - $B$3*1 - $C$3*M$14</f>
        <v>175</v>
      </c>
      <c r="N18" s="3">
        <f>$E$3*(1+$J18-N$14) - $B$3*1 - $C$3*N$14</f>
        <v>40</v>
      </c>
      <c r="O18" s="3">
        <f>$E$3*(1+$J18-O$14) - $B$3*1 - $C$3*O$14</f>
        <v>-95</v>
      </c>
      <c r="Q18" s="9"/>
      <c r="R18" s="6">
        <v>1</v>
      </c>
      <c r="S18" s="3">
        <f>SUMPRODUCT($D10:$H10,$Z$6:$AD$6) + S10</f>
        <v>107</v>
      </c>
      <c r="T18" s="3">
        <f>SUMPRODUCT($D18:$H18,$Z$6:$AD$6) + T10</f>
        <v>121.30000000000001</v>
      </c>
      <c r="U18" s="3">
        <f>SUMPRODUCT($D26:$H26,$Z$6:$AD$6) + U10</f>
        <v>0</v>
      </c>
      <c r="V18" s="3">
        <f t="shared" si="8"/>
        <v>121.30000000000001</v>
      </c>
      <c r="W18" s="3" t="str">
        <f>INDEX($S$14:$U$14,0,MATCH($V18,$S18:$U18,0))</f>
        <v>x1</v>
      </c>
    </row>
    <row r="19" spans="2:23" ht="21" customHeight="1" thickBot="1" x14ac:dyDescent="0.35">
      <c r="B19" s="26"/>
      <c r="C19" s="6">
        <f>$O$6</f>
        <v>2</v>
      </c>
      <c r="D19" s="11">
        <v>0</v>
      </c>
      <c r="E19" s="11">
        <v>0</v>
      </c>
      <c r="F19" s="17">
        <v>0</v>
      </c>
      <c r="G19" s="17">
        <v>0</v>
      </c>
      <c r="H19" s="17">
        <v>0</v>
      </c>
      <c r="I19" s="9"/>
      <c r="J19" s="6">
        <f>$C19</f>
        <v>2</v>
      </c>
      <c r="K19" s="11">
        <v>0</v>
      </c>
      <c r="L19" s="11">
        <v>0</v>
      </c>
      <c r="M19" s="17">
        <v>0</v>
      </c>
      <c r="N19" s="17">
        <v>0</v>
      </c>
      <c r="O19" s="17">
        <v>0</v>
      </c>
      <c r="Q19" s="9"/>
      <c r="R19" s="6">
        <v>2</v>
      </c>
      <c r="S19" s="3">
        <f>SUMPRODUCT($D11:$H11,$Z$6:$AD$6) + S11</f>
        <v>186.3</v>
      </c>
      <c r="T19" s="3">
        <f>SUMPRODUCT($D19:$H19,$Z$6:$AD$6) + T11</f>
        <v>0</v>
      </c>
      <c r="U19" s="3">
        <f>SUMPRODUCT($D27:$H27,$Z$6:$AD$6) + U11</f>
        <v>0</v>
      </c>
      <c r="V19" s="3">
        <f t="shared" si="8"/>
        <v>186.3</v>
      </c>
      <c r="W19" s="3" t="str">
        <f>INDEX($S$14:$U$14,0,MATCH($V19,$S19:$U19,0))</f>
        <v>x0</v>
      </c>
    </row>
    <row r="20" spans="2:23" ht="21" customHeight="1" thickBot="1" x14ac:dyDescent="0.35">
      <c r="Q20" s="9"/>
      <c r="R20" s="14"/>
      <c r="S20" s="9"/>
      <c r="T20" s="9"/>
      <c r="U20" s="9"/>
      <c r="V20" s="9"/>
      <c r="W20" s="9"/>
    </row>
    <row r="21" spans="2:23" s="9" customFormat="1" ht="21" customHeight="1" thickBot="1" x14ac:dyDescent="0.35">
      <c r="C21" s="26" t="s">
        <v>27</v>
      </c>
      <c r="D21" s="26"/>
      <c r="E21" s="26"/>
      <c r="F21" s="26"/>
      <c r="G21" s="26"/>
      <c r="H21" s="26"/>
      <c r="J21" s="26" t="s">
        <v>29</v>
      </c>
      <c r="K21" s="26"/>
      <c r="L21" s="26"/>
      <c r="M21" s="26"/>
      <c r="N21" s="26"/>
      <c r="O21" s="26"/>
      <c r="Q21" s="15"/>
      <c r="R21" s="5" t="s">
        <v>22</v>
      </c>
      <c r="S21" s="27" t="s">
        <v>24</v>
      </c>
      <c r="T21" s="28"/>
      <c r="U21" s="29"/>
      <c r="V21" s="30" t="s">
        <v>19</v>
      </c>
      <c r="W21" s="30" t="s">
        <v>20</v>
      </c>
    </row>
    <row r="22" spans="2:23" ht="21" customHeight="1" thickBot="1" x14ac:dyDescent="0.35">
      <c r="B22" s="26">
        <v>2</v>
      </c>
      <c r="C22" s="7" t="s">
        <v>11</v>
      </c>
      <c r="D22" s="8">
        <v>-2</v>
      </c>
      <c r="E22" s="8">
        <v>-1</v>
      </c>
      <c r="F22" s="8">
        <v>0</v>
      </c>
      <c r="G22" s="8">
        <v>1</v>
      </c>
      <c r="H22" s="8">
        <v>2</v>
      </c>
      <c r="I22" s="9"/>
      <c r="J22" s="7" t="s">
        <v>11</v>
      </c>
      <c r="K22" s="8">
        <f>D$22</f>
        <v>-2</v>
      </c>
      <c r="L22" s="8">
        <f t="shared" ref="L22:O22" si="9">E$22</f>
        <v>-1</v>
      </c>
      <c r="M22" s="8">
        <f t="shared" si="9"/>
        <v>0</v>
      </c>
      <c r="N22" s="8">
        <f t="shared" si="9"/>
        <v>1</v>
      </c>
      <c r="O22" s="8">
        <f t="shared" si="9"/>
        <v>2</v>
      </c>
      <c r="Q22" s="15"/>
      <c r="R22" s="4" t="s">
        <v>11</v>
      </c>
      <c r="S22" s="13" t="s">
        <v>13</v>
      </c>
      <c r="T22" s="13" t="s">
        <v>14</v>
      </c>
      <c r="U22" s="13" t="s">
        <v>12</v>
      </c>
      <c r="V22" s="31"/>
      <c r="W22" s="31"/>
    </row>
    <row r="23" spans="2:23" ht="21" customHeight="1" thickBot="1" x14ac:dyDescent="0.35">
      <c r="B23" s="26"/>
      <c r="C23" s="6">
        <f>$K$14</f>
        <v>-2</v>
      </c>
      <c r="D23" s="11">
        <f>D$25</f>
        <v>0</v>
      </c>
      <c r="E23" s="18">
        <f t="shared" ref="E23:H24" si="10">E$25</f>
        <v>0</v>
      </c>
      <c r="F23" s="3">
        <f t="shared" si="10"/>
        <v>0.3</v>
      </c>
      <c r="G23" s="3">
        <f t="shared" si="10"/>
        <v>0.5</v>
      </c>
      <c r="H23" s="3">
        <f t="shared" si="10"/>
        <v>0.2</v>
      </c>
      <c r="I23" s="9"/>
      <c r="J23" s="6">
        <f>$C23</f>
        <v>-2</v>
      </c>
      <c r="K23" s="11">
        <f>K$25</f>
        <v>0</v>
      </c>
      <c r="L23" s="18">
        <f t="shared" ref="L23:O24" si="11">L$25</f>
        <v>0</v>
      </c>
      <c r="M23" s="3">
        <f t="shared" si="11"/>
        <v>110</v>
      </c>
      <c r="N23" s="3">
        <f t="shared" si="11"/>
        <v>-25</v>
      </c>
      <c r="O23" s="3">
        <f t="shared" si="11"/>
        <v>-160</v>
      </c>
      <c r="Q23" s="15"/>
      <c r="R23" s="6">
        <v>-2</v>
      </c>
      <c r="S23" s="3">
        <f>SUMPRODUCT($D7:$H7,$Z$14:$AD$14) + S7</f>
        <v>6.8000000000000114</v>
      </c>
      <c r="T23" s="3">
        <f>SUMPRODUCT($D15:$H15,$Z$14:$AD$14) + T7</f>
        <v>83.800000000000011</v>
      </c>
      <c r="U23" s="3">
        <f>SUMPRODUCT($D23:$H23,$Z$14:$AD$14) + U7</f>
        <v>103.30000000000001</v>
      </c>
      <c r="V23" s="3">
        <f>MAX(S23:U23)</f>
        <v>103.30000000000001</v>
      </c>
      <c r="W23" s="3" t="str">
        <f>INDEX($S$22:$U$22,0,MATCH($V23,$S23:$U23,0))</f>
        <v>x2</v>
      </c>
    </row>
    <row r="24" spans="2:23" ht="21" customHeight="1" thickBot="1" x14ac:dyDescent="0.35">
      <c r="B24" s="26"/>
      <c r="C24" s="6">
        <f>$L$14</f>
        <v>-1</v>
      </c>
      <c r="D24" s="11">
        <f>D$25</f>
        <v>0</v>
      </c>
      <c r="E24" s="18">
        <f t="shared" si="10"/>
        <v>0</v>
      </c>
      <c r="F24" s="3">
        <f t="shared" si="10"/>
        <v>0.3</v>
      </c>
      <c r="G24" s="3">
        <f t="shared" si="10"/>
        <v>0.5</v>
      </c>
      <c r="H24" s="3">
        <f t="shared" si="10"/>
        <v>0.2</v>
      </c>
      <c r="I24" s="9"/>
      <c r="J24" s="6">
        <f t="shared" ref="J24" si="12">$C24</f>
        <v>-1</v>
      </c>
      <c r="K24" s="11">
        <f>K$25</f>
        <v>0</v>
      </c>
      <c r="L24" s="18">
        <f t="shared" si="11"/>
        <v>0</v>
      </c>
      <c r="M24" s="3">
        <f t="shared" si="11"/>
        <v>110</v>
      </c>
      <c r="N24" s="3">
        <f t="shared" si="11"/>
        <v>-25</v>
      </c>
      <c r="O24" s="3">
        <f t="shared" si="11"/>
        <v>-160</v>
      </c>
      <c r="Q24" s="9"/>
      <c r="R24" s="6">
        <v>-1</v>
      </c>
      <c r="S24" s="3">
        <f>SUMPRODUCT($D8:$H8,$Z$14:$AD$14) + S8</f>
        <v>6.8000000000000114</v>
      </c>
      <c r="T24" s="3">
        <f>SUMPRODUCT($D16:$H16,$Z$14:$AD$14) + T8</f>
        <v>83.800000000000011</v>
      </c>
      <c r="U24" s="3">
        <f>SUMPRODUCT($D24:$H24,$Z$14:$AD$14) + U8</f>
        <v>103.30000000000001</v>
      </c>
      <c r="V24" s="3">
        <f t="shared" ref="V24:V27" si="13">MAX(S24:U24)</f>
        <v>103.30000000000001</v>
      </c>
      <c r="W24" s="3" t="str">
        <f>INDEX($S$22:$U$22,0,MATCH($V24,$S24:$U24,0))</f>
        <v>x2</v>
      </c>
    </row>
    <row r="25" spans="2:23" ht="21" customHeight="1" thickBot="1" x14ac:dyDescent="0.35">
      <c r="B25" s="26"/>
      <c r="C25" s="6">
        <f>$M$14</f>
        <v>0</v>
      </c>
      <c r="D25" s="11">
        <v>0</v>
      </c>
      <c r="E25" s="18">
        <v>0</v>
      </c>
      <c r="F25" s="3">
        <f>H$3</f>
        <v>0.3</v>
      </c>
      <c r="G25" s="3">
        <f>G$3</f>
        <v>0.5</v>
      </c>
      <c r="H25" s="3">
        <f>F$3</f>
        <v>0.2</v>
      </c>
      <c r="I25" s="9"/>
      <c r="J25" s="6">
        <f>$C25</f>
        <v>0</v>
      </c>
      <c r="K25" s="11">
        <v>0</v>
      </c>
      <c r="L25" s="18">
        <v>0</v>
      </c>
      <c r="M25" s="3">
        <f>$E$3*(2-M$22) - $B$3*2 - $C$3*M$22</f>
        <v>110</v>
      </c>
      <c r="N25" s="3">
        <f>$E$3*(2-N$22) - $B$3*2 - $C$3*N$22</f>
        <v>-25</v>
      </c>
      <c r="O25" s="3">
        <f>$E$3*(2-O$22) - $B$3*2 - $C$3*O$22</f>
        <v>-160</v>
      </c>
      <c r="Q25" s="9"/>
      <c r="R25" s="6">
        <v>0</v>
      </c>
      <c r="S25" s="3">
        <f>SUMPRODUCT($D9:$H9,$Z$14:$AD$14) + S9</f>
        <v>6.8000000000000114</v>
      </c>
      <c r="T25" s="3">
        <f>SUMPRODUCT($D17:$H17,$Z$14:$AD$14) + T9</f>
        <v>83.800000000000011</v>
      </c>
      <c r="U25" s="3">
        <f>SUMPRODUCT($D25:$H25,$Z$14:$AD$14) + U9</f>
        <v>103.30000000000001</v>
      </c>
      <c r="V25" s="3">
        <f t="shared" si="13"/>
        <v>103.30000000000001</v>
      </c>
      <c r="W25" s="3" t="str">
        <f>INDEX($S$22:$U$22,0,MATCH($V25,$S25:$U25,0))</f>
        <v>x2</v>
      </c>
    </row>
    <row r="26" spans="2:23" ht="21" customHeight="1" thickBot="1" x14ac:dyDescent="0.35">
      <c r="B26" s="26"/>
      <c r="C26" s="6">
        <f>$N$14</f>
        <v>1</v>
      </c>
      <c r="D26" s="11">
        <v>0</v>
      </c>
      <c r="E26" s="11">
        <v>0</v>
      </c>
      <c r="F26" s="17">
        <v>0</v>
      </c>
      <c r="G26" s="17">
        <v>0</v>
      </c>
      <c r="H26" s="17">
        <v>0</v>
      </c>
      <c r="I26" s="9"/>
      <c r="J26" s="7">
        <f>$C26</f>
        <v>1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Q26" s="9"/>
      <c r="R26" s="6">
        <v>1</v>
      </c>
      <c r="S26" s="3">
        <f>SUMPRODUCT($D10:$H10,$Z$14:$AD$14) + S10</f>
        <v>148.80000000000001</v>
      </c>
      <c r="T26" s="3">
        <f>SUMPRODUCT($D18:$H18,$Z$14:$AD$14) + T10</f>
        <v>168.3</v>
      </c>
      <c r="U26" s="3">
        <f>SUMPRODUCT($D26:$H26,$Z$14:$AD$14) + U10</f>
        <v>0</v>
      </c>
      <c r="V26" s="3">
        <f t="shared" si="13"/>
        <v>168.3</v>
      </c>
      <c r="W26" s="3" t="str">
        <f>INDEX($S$22:$U$22,0,MATCH($V26,$S26:$U26,0))</f>
        <v>x1</v>
      </c>
    </row>
    <row r="27" spans="2:23" ht="21" customHeight="1" thickBot="1" x14ac:dyDescent="0.35">
      <c r="B27" s="26"/>
      <c r="C27" s="6">
        <f>$O$14</f>
        <v>2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9"/>
      <c r="J27" s="7">
        <f>$C27</f>
        <v>2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Q27" s="9"/>
      <c r="R27" s="6">
        <v>2</v>
      </c>
      <c r="S27" s="3">
        <f>SUMPRODUCT($D11:$H11,$Z$14:$AD$14) + S11</f>
        <v>233.3</v>
      </c>
      <c r="T27" s="3">
        <f>SUMPRODUCT($D19:$H19,$Z$14:$AD$14) + T11</f>
        <v>0</v>
      </c>
      <c r="U27" s="3">
        <f>SUMPRODUCT($D27:$H27,$Z$14:$AD$14) + U11</f>
        <v>0</v>
      </c>
      <c r="V27" s="3">
        <f t="shared" si="13"/>
        <v>233.3</v>
      </c>
      <c r="W27" s="3" t="str">
        <f>INDEX($S$22:$U$22,0,MATCH($V27,$S27:$U27,0))</f>
        <v>x0</v>
      </c>
    </row>
    <row r="28" spans="2:23" ht="21" customHeight="1" x14ac:dyDescent="0.3">
      <c r="Q28" s="9"/>
    </row>
    <row r="29" spans="2:23" s="1" customFormat="1" ht="21" customHeight="1" x14ac:dyDescent="0.3">
      <c r="I29" s="32" t="s">
        <v>15</v>
      </c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 spans="2:23" s="9" customFormat="1" ht="21" customHeight="1" thickBot="1" x14ac:dyDescent="0.35">
      <c r="I30" s="34"/>
      <c r="J30" s="34"/>
      <c r="K30" s="34"/>
      <c r="M30" s="34"/>
      <c r="N30" s="34"/>
      <c r="O30" s="34"/>
    </row>
    <row r="31" spans="2:23" s="1" customFormat="1" ht="21" customHeight="1" thickBot="1" x14ac:dyDescent="0.35">
      <c r="H31" s="37"/>
      <c r="I31" s="35" t="s">
        <v>34</v>
      </c>
      <c r="J31" s="35"/>
      <c r="K31" s="36"/>
      <c r="L31" s="38"/>
      <c r="M31" s="39" t="s">
        <v>33</v>
      </c>
      <c r="N31" s="33"/>
      <c r="O31" s="40"/>
      <c r="S31" s="23">
        <v>0</v>
      </c>
      <c r="T31" s="23">
        <v>1</v>
      </c>
      <c r="U31" s="23">
        <v>2</v>
      </c>
    </row>
    <row r="32" spans="2:23" s="1" customFormat="1" ht="21" customHeight="1" thickBot="1" x14ac:dyDescent="0.35">
      <c r="I32" s="3">
        <f>$H$3</f>
        <v>0.3</v>
      </c>
      <c r="J32" s="3">
        <f>$G$3</f>
        <v>0.5</v>
      </c>
      <c r="K32" s="3">
        <f>$F$3</f>
        <v>0.2</v>
      </c>
      <c r="M32" s="3">
        <f>M$25</f>
        <v>110</v>
      </c>
      <c r="N32" s="3">
        <f t="shared" ref="N32:O32" si="14">N$25</f>
        <v>-25</v>
      </c>
      <c r="O32" s="3">
        <f t="shared" si="14"/>
        <v>-160</v>
      </c>
      <c r="R32" s="22" t="s">
        <v>30</v>
      </c>
      <c r="S32" s="3">
        <f>SUMPRODUCT($I$32:$K$32,$M$32:$O$32)</f>
        <v>-11.5</v>
      </c>
      <c r="T32" s="3">
        <f>SUMPRODUCT($I$33:$K$33,$M$33:$O$33)</f>
        <v>53.5</v>
      </c>
      <c r="U32" s="3">
        <f>SUMPRODUCT($I$34:$K$34,$M$34:$O$34)</f>
        <v>118.5</v>
      </c>
    </row>
    <row r="33" spans="9:21" s="1" customFormat="1" ht="21" customHeight="1" thickBot="1" x14ac:dyDescent="0.35">
      <c r="I33" s="3">
        <f t="shared" ref="I33:I34" si="15">$H$3</f>
        <v>0.3</v>
      </c>
      <c r="J33" s="3">
        <f t="shared" ref="J33:J34" si="16">$G$3</f>
        <v>0.5</v>
      </c>
      <c r="K33" s="3">
        <f t="shared" ref="K33:K34" si="17">$F$3</f>
        <v>0.2</v>
      </c>
      <c r="M33" s="3">
        <f>M$18</f>
        <v>175</v>
      </c>
      <c r="N33" s="3">
        <f t="shared" ref="N33:O33" si="18">N$18</f>
        <v>40</v>
      </c>
      <c r="O33" s="3">
        <f t="shared" si="18"/>
        <v>-95</v>
      </c>
      <c r="R33" s="22" t="s">
        <v>31</v>
      </c>
      <c r="S33" s="3">
        <f>SUMPRODUCT($I$34:$K$34,$S32:$U32) + S$32</f>
        <v>35.5</v>
      </c>
      <c r="T33" s="3">
        <f>SUMPRODUCT($I$33:$K$33,$S32:$U32) + T$32</f>
        <v>100.5</v>
      </c>
      <c r="U33" s="3">
        <f>SUMPRODUCT($I$32:$K$32,$S32:$U32) + U$32</f>
        <v>165.5</v>
      </c>
    </row>
    <row r="34" spans="9:21" s="1" customFormat="1" ht="21" customHeight="1" thickBot="1" x14ac:dyDescent="0.35">
      <c r="I34" s="3">
        <f t="shared" si="15"/>
        <v>0.3</v>
      </c>
      <c r="J34" s="3">
        <f t="shared" si="16"/>
        <v>0.5</v>
      </c>
      <c r="K34" s="3">
        <f t="shared" si="17"/>
        <v>0.2</v>
      </c>
      <c r="M34" s="3">
        <f>M$11</f>
        <v>240</v>
      </c>
      <c r="N34" s="3">
        <f t="shared" ref="N34:O34" si="19">N$11</f>
        <v>105</v>
      </c>
      <c r="O34" s="3">
        <f t="shared" si="19"/>
        <v>-30</v>
      </c>
      <c r="R34" s="22" t="s">
        <v>32</v>
      </c>
      <c r="S34" s="3">
        <f>SUMPRODUCT($I$34:$K$34,$S33:$U33) + S$32</f>
        <v>82.5</v>
      </c>
      <c r="T34" s="3">
        <f>SUMPRODUCT($I$33:$K$33,$S33:$U33) + T$32</f>
        <v>147.5</v>
      </c>
      <c r="U34" s="3">
        <f>SUMPRODUCT($I$32:$K$32,$S33:$U33) + U$32</f>
        <v>212.5</v>
      </c>
    </row>
  </sheetData>
  <mergeCells count="23">
    <mergeCell ref="M31:O31"/>
    <mergeCell ref="I31:K31"/>
    <mergeCell ref="I29:U29"/>
    <mergeCell ref="W21:W22"/>
    <mergeCell ref="V21:V22"/>
    <mergeCell ref="W13:W14"/>
    <mergeCell ref="V13:V14"/>
    <mergeCell ref="B22:B27"/>
    <mergeCell ref="S21:U21"/>
    <mergeCell ref="C21:H21"/>
    <mergeCell ref="J21:O21"/>
    <mergeCell ref="W5:W6"/>
    <mergeCell ref="B14:B19"/>
    <mergeCell ref="B6:B11"/>
    <mergeCell ref="S13:U13"/>
    <mergeCell ref="C13:H13"/>
    <mergeCell ref="J13:O13"/>
    <mergeCell ref="C5:H5"/>
    <mergeCell ref="I2:L2"/>
    <mergeCell ref="I3:L3"/>
    <mergeCell ref="J5:O5"/>
    <mergeCell ref="S5:U5"/>
    <mergeCell ref="V5:V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2023-12-26T17:54:49Z</dcterms:modified>
</cp:coreProperties>
</file>