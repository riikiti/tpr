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79803\Desktop\"/>
    </mc:Choice>
  </mc:AlternateContent>
  <xr:revisionPtr revIDLastSave="0" documentId="8_{85AAF3F0-853B-43AD-9FBB-805BBDE6AD61}" xr6:coauthVersionLast="45" xr6:coauthVersionMax="45" xr10:uidLastSave="{00000000-0000-0000-0000-000000000000}"/>
  <bookViews>
    <workbookView xWindow="-108" yWindow="-108" windowWidth="23256" windowHeight="12528" xr2:uid="{00000000-000D-0000-FFFF-FFFF00000000}"/>
  </bookViews>
  <sheets>
    <sheet name="Вектор Шéпли" sheetId="1" r:id="rId1"/>
    <sheet name="С-ядро" sheetId="2" r:id="rId2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20" i="2" l="1"/>
  <c r="E19" i="2"/>
  <c r="G12" i="2"/>
  <c r="G13" i="2"/>
  <c r="E21" i="2" s="1"/>
  <c r="E34" i="2"/>
  <c r="E33" i="2"/>
  <c r="G11" i="2"/>
  <c r="G40" i="2"/>
  <c r="E43" i="2" s="1"/>
  <c r="G41" i="2"/>
  <c r="E44" i="2" s="1"/>
  <c r="E37" i="2"/>
  <c r="G29" i="2"/>
  <c r="E35" i="2" s="1"/>
  <c r="G30" i="2"/>
  <c r="E36" i="2" s="1"/>
  <c r="G27" i="2"/>
  <c r="E24" i="2"/>
  <c r="E23" i="2"/>
  <c r="G15" i="2"/>
  <c r="G14" i="2"/>
  <c r="E22" i="2" s="1"/>
  <c r="G10" i="2"/>
  <c r="E18" i="2" s="1"/>
  <c r="C7" i="2"/>
  <c r="C6" i="2"/>
  <c r="C11" i="2" s="1"/>
  <c r="C5" i="2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E18" i="1"/>
  <c r="E17" i="1"/>
  <c r="E19" i="1"/>
  <c r="E26" i="1"/>
  <c r="E27" i="1"/>
  <c r="E28" i="1"/>
  <c r="E29" i="1"/>
  <c r="E30" i="1"/>
  <c r="E25" i="1"/>
  <c r="E24" i="1"/>
  <c r="E23" i="1"/>
  <c r="E13" i="1"/>
  <c r="D20" i="1"/>
  <c r="D21" i="1"/>
  <c r="D22" i="1"/>
  <c r="D23" i="1"/>
  <c r="D24" i="1"/>
  <c r="D19" i="1"/>
  <c r="D14" i="1"/>
  <c r="D13" i="1"/>
  <c r="C14" i="1"/>
  <c r="C15" i="1"/>
  <c r="C16" i="1"/>
  <c r="C17" i="1"/>
  <c r="C18" i="1"/>
  <c r="C13" i="1"/>
  <c r="C10" i="2" l="1"/>
  <c r="C12" i="2"/>
  <c r="C8" i="2"/>
  <c r="C17" i="2"/>
  <c r="C9" i="2"/>
  <c r="G34" i="2"/>
  <c r="G21" i="2"/>
  <c r="D51" i="2" s="1"/>
  <c r="L13" i="1"/>
  <c r="J13" i="1"/>
  <c r="M13" i="1"/>
  <c r="K13" i="1"/>
  <c r="G44" i="2"/>
  <c r="C16" i="2" l="1"/>
  <c r="C15" i="2"/>
  <c r="C14" i="2"/>
  <c r="C19" i="2"/>
  <c r="J51" i="2"/>
  <c r="F51" i="2"/>
  <c r="E51" i="2"/>
  <c r="I51" i="2"/>
  <c r="G51" i="2"/>
  <c r="N13" i="1"/>
  <c r="H51" i="2"/>
  <c r="L51" i="2" l="1"/>
</calcChain>
</file>

<file path=xl/sharedStrings.xml><?xml version="1.0" encoding="utf-8"?>
<sst xmlns="http://schemas.openxmlformats.org/spreadsheetml/2006/main" count="90" uniqueCount="89">
  <si>
    <t>v(A)</t>
  </si>
  <si>
    <t>v(B)</t>
  </si>
  <si>
    <t>v(C)</t>
  </si>
  <si>
    <t>v(D)</t>
  </si>
  <si>
    <t>v(AB)</t>
  </si>
  <si>
    <t>v(AC)</t>
  </si>
  <si>
    <t>v(AD)</t>
  </si>
  <si>
    <t>v(BC)</t>
  </si>
  <si>
    <t>v(BD)</t>
  </si>
  <si>
    <t>v(CD)</t>
  </si>
  <si>
    <t>v(ABC)</t>
  </si>
  <si>
    <t>v(ACD)</t>
  </si>
  <si>
    <t>v(ABD)</t>
  </si>
  <si>
    <t>v(BCD)</t>
  </si>
  <si>
    <t>v(ABCD)</t>
  </si>
  <si>
    <t>π</t>
  </si>
  <si>
    <t>Δ(S, A)</t>
  </si>
  <si>
    <t>Δ(S, B)</t>
  </si>
  <si>
    <t>Δ(S, C)</t>
  </si>
  <si>
    <t>Δ(S, D)</t>
  </si>
  <si>
    <t>ABCD</t>
  </si>
  <si>
    <t>ABDC</t>
  </si>
  <si>
    <t>ADCB</t>
  </si>
  <si>
    <t>ADBC</t>
  </si>
  <si>
    <t>ACBD</t>
  </si>
  <si>
    <t>ACDB</t>
  </si>
  <si>
    <t>BACD</t>
  </si>
  <si>
    <t>BADC</t>
  </si>
  <si>
    <t>BDCA</t>
  </si>
  <si>
    <t>BDAC</t>
  </si>
  <si>
    <t>BCAD</t>
  </si>
  <si>
    <t>BCDA</t>
  </si>
  <si>
    <t>CABD</t>
  </si>
  <si>
    <t>CADB</t>
  </si>
  <si>
    <t>CBAD</t>
  </si>
  <si>
    <t>CBDA</t>
  </si>
  <si>
    <t>CDAB</t>
  </si>
  <si>
    <t>CDBA</t>
  </si>
  <si>
    <t>DABC</t>
  </si>
  <si>
    <t>DACB</t>
  </si>
  <si>
    <t>DBAC</t>
  </si>
  <si>
    <t>DBCA</t>
  </si>
  <si>
    <t>DCAB</t>
  </si>
  <si>
    <t>DCBA</t>
  </si>
  <si>
    <t>ϕA(v)</t>
  </si>
  <si>
    <t>ϕB(v)</t>
  </si>
  <si>
    <t>ϕC(v)</t>
  </si>
  <si>
    <t>ϕD(v)</t>
  </si>
  <si>
    <t>n</t>
  </si>
  <si>
    <t>q</t>
  </si>
  <si>
    <t>p1</t>
  </si>
  <si>
    <t>p2</t>
  </si>
  <si>
    <t>p3</t>
  </si>
  <si>
    <t>p4</t>
  </si>
  <si>
    <t>p5</t>
  </si>
  <si>
    <t>p6</t>
  </si>
  <si>
    <r>
      <t xml:space="preserve">Диктатор отсутствует, так как pi </t>
    </r>
    <r>
      <rPr>
        <sz val="11"/>
        <color theme="1"/>
        <rFont val="Calibri"/>
        <family val="2"/>
        <charset val="204"/>
      </rPr>
      <t>≤</t>
    </r>
    <r>
      <rPr>
        <sz val="11"/>
        <color theme="1"/>
        <rFont val="Calibri"/>
        <family val="2"/>
      </rPr>
      <t xml:space="preserve"> q для всех i</t>
    </r>
  </si>
  <si>
    <t>W1</t>
  </si>
  <si>
    <t>k</t>
  </si>
  <si>
    <t>m</t>
  </si>
  <si>
    <t>W2</t>
  </si>
  <si>
    <t>W3</t>
  </si>
  <si>
    <t>p7</t>
  </si>
  <si>
    <t>(i = 3..7)</t>
  </si>
  <si>
    <t>p2:p7</t>
  </si>
  <si>
    <t>p3:p7</t>
  </si>
  <si>
    <t>Вариант 4</t>
  </si>
  <si>
    <t>Вето-игроки отсутствуют</t>
  </si>
  <si>
    <t>Так как нет диктатора или вето-игроков, то C-ядро пустое</t>
  </si>
  <si>
    <t>i i 1</t>
  </si>
  <si>
    <t>i i i 1</t>
  </si>
  <si>
    <t>I I p1</t>
  </si>
  <si>
    <t>i i i i 1</t>
  </si>
  <si>
    <t>3 4 5 6 7 1</t>
  </si>
  <si>
    <t>1 2</t>
  </si>
  <si>
    <t>2 1</t>
  </si>
  <si>
    <t>i i i 2</t>
  </si>
  <si>
    <t>i i i i 2</t>
  </si>
  <si>
    <t>3 4 5 6 7 2</t>
  </si>
  <si>
    <t>(i = 4..7)</t>
  </si>
  <si>
    <t>1 i 3</t>
  </si>
  <si>
    <t>2 i i 3</t>
  </si>
  <si>
    <t>2 i 1</t>
  </si>
  <si>
    <t>1 i 2</t>
  </si>
  <si>
    <t>2 i i 1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</si>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</sst>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1" xfId="0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36"/>
  <sheetViews>
    <sheetView tabSelected="1" workbookViewId="0">
      <selection activeCell="M16" sqref="M16"/>
    </sheetView>
  </sheetViews>
  <sheetFormatPr defaultRowHeight="14.4" x14ac:dyDescent="0.3"/>
  <sheetData>
    <row r="2" spans="2:14" x14ac:dyDescent="0.3">
      <c r="B2" t="s">
        <v>66</v>
      </c>
    </row>
    <row r="4" spans="2:14" x14ac:dyDescent="0.3">
      <c r="B4" t="s">
        <v>0</v>
      </c>
      <c r="C4">
        <v>-5</v>
      </c>
      <c r="E4" t="s">
        <v>4</v>
      </c>
      <c r="F4">
        <v>-8</v>
      </c>
      <c r="H4" t="s">
        <v>10</v>
      </c>
      <c r="I4">
        <v>-9</v>
      </c>
      <c r="K4" t="s">
        <v>14</v>
      </c>
      <c r="L4">
        <v>-15</v>
      </c>
    </row>
    <row r="5" spans="2:14" x14ac:dyDescent="0.3">
      <c r="B5" t="s">
        <v>1</v>
      </c>
      <c r="C5">
        <v>-8</v>
      </c>
      <c r="E5" t="s">
        <v>5</v>
      </c>
      <c r="F5">
        <v>-9</v>
      </c>
      <c r="H5" t="s">
        <v>11</v>
      </c>
      <c r="I5">
        <v>-15</v>
      </c>
    </row>
    <row r="6" spans="2:14" x14ac:dyDescent="0.3">
      <c r="B6" t="s">
        <v>2</v>
      </c>
      <c r="C6">
        <v>-9</v>
      </c>
      <c r="E6" t="s">
        <v>6</v>
      </c>
      <c r="F6">
        <v>-15</v>
      </c>
      <c r="H6" t="s">
        <v>12</v>
      </c>
      <c r="I6">
        <v>-15</v>
      </c>
    </row>
    <row r="7" spans="2:14" x14ac:dyDescent="0.3">
      <c r="B7" t="s">
        <v>3</v>
      </c>
      <c r="C7">
        <v>-15</v>
      </c>
      <c r="E7" t="s">
        <v>7</v>
      </c>
      <c r="F7">
        <v>-9</v>
      </c>
      <c r="H7" t="s">
        <v>13</v>
      </c>
      <c r="I7">
        <v>-15</v>
      </c>
    </row>
    <row r="8" spans="2:14" x14ac:dyDescent="0.3">
      <c r="E8" t="s">
        <v>8</v>
      </c>
      <c r="F8">
        <v>-15</v>
      </c>
    </row>
    <row r="9" spans="2:14" x14ac:dyDescent="0.3">
      <c r="E9" t="s">
        <v>9</v>
      </c>
      <c r="F9">
        <v>-15</v>
      </c>
    </row>
    <row r="10" spans="2:14" x14ac:dyDescent="0.3">
      <c r="J10" t="s">
        <v>85</v>
      </c>
      <c r="K10" t="s">
        <v>86</v>
      </c>
    </row>
    <row r="11" spans="2:14" x14ac:dyDescent="0.3">
      <c r="L11" t="s">
        <v>87</v>
      </c>
      <c r="M11" t="s">
        <v>88</v>
      </c>
    </row>
    <row r="12" spans="2:14" x14ac:dyDescent="0.3">
      <c r="B12" s="1" t="s">
        <v>15</v>
      </c>
      <c r="C12" s="1" t="s">
        <v>16</v>
      </c>
      <c r="D12" s="1" t="s">
        <v>17</v>
      </c>
      <c r="E12" s="1" t="s">
        <v>18</v>
      </c>
      <c r="F12" s="1" t="s">
        <v>19</v>
      </c>
      <c r="J12" s="1" t="s">
        <v>44</v>
      </c>
      <c r="K12" s="1" t="s">
        <v>45</v>
      </c>
      <c r="L12" s="1" t="s">
        <v>46</v>
      </c>
      <c r="M12" s="1" t="s">
        <v>47</v>
      </c>
    </row>
    <row r="13" spans="2:14" x14ac:dyDescent="0.3">
      <c r="B13" t="s">
        <v>20</v>
      </c>
      <c r="C13">
        <f t="shared" ref="C13:C18" si="0">$C$4</f>
        <v>-5</v>
      </c>
      <c r="D13">
        <f>$F$4-$C$4</f>
        <v>-3</v>
      </c>
      <c r="E13">
        <f>$C$6-$C$5</f>
        <v>-1</v>
      </c>
      <c r="F13">
        <f>$C$7-$C$6</f>
        <v>-6</v>
      </c>
      <c r="J13">
        <f>SUM(C13:C36)/COUNT(C13:C36)</f>
        <v>-1.25</v>
      </c>
      <c r="K13">
        <f>SUM(D13:D36)/COUNT(D13:D36)</f>
        <v>-2.25</v>
      </c>
      <c r="L13">
        <f>SUM(E13:E36)/COUNT(E13:E36)</f>
        <v>-2.75</v>
      </c>
      <c r="M13">
        <f>SUM(F13:F36)/COUNT(F13:F36)</f>
        <v>-8.75</v>
      </c>
      <c r="N13">
        <f>SUM(J13:M13)</f>
        <v>-15</v>
      </c>
    </row>
    <row r="14" spans="2:14" x14ac:dyDescent="0.3">
      <c r="B14" t="s">
        <v>21</v>
      </c>
      <c r="C14">
        <f t="shared" si="0"/>
        <v>-5</v>
      </c>
      <c r="D14">
        <f>$F$4-$C$4</f>
        <v>-3</v>
      </c>
      <c r="E14">
        <v>0</v>
      </c>
      <c r="F14">
        <f>$C$7-$C$5</f>
        <v>-7</v>
      </c>
      <c r="J14">
        <v>-1.5</v>
      </c>
      <c r="K14">
        <v>-2</v>
      </c>
      <c r="L14">
        <v>-2.75</v>
      </c>
      <c r="M14">
        <v>-8.75</v>
      </c>
    </row>
    <row r="15" spans="2:14" x14ac:dyDescent="0.3">
      <c r="B15" t="s">
        <v>22</v>
      </c>
      <c r="C15">
        <f t="shared" si="0"/>
        <v>-5</v>
      </c>
      <c r="D15">
        <v>0</v>
      </c>
      <c r="E15">
        <v>0</v>
      </c>
      <c r="F15">
        <f>$C$7-$C$4</f>
        <v>-10</v>
      </c>
    </row>
    <row r="16" spans="2:14" x14ac:dyDescent="0.3">
      <c r="B16" t="s">
        <v>23</v>
      </c>
      <c r="C16">
        <f t="shared" si="0"/>
        <v>-5</v>
      </c>
      <c r="D16">
        <v>0</v>
      </c>
      <c r="E16">
        <v>0</v>
      </c>
      <c r="F16">
        <f>$C$7-$C$4</f>
        <v>-10</v>
      </c>
    </row>
    <row r="17" spans="2:10" x14ac:dyDescent="0.3">
      <c r="B17" t="s">
        <v>24</v>
      </c>
      <c r="C17">
        <f t="shared" si="0"/>
        <v>-5</v>
      </c>
      <c r="D17">
        <v>0</v>
      </c>
      <c r="E17">
        <f>$C$6-$C$4</f>
        <v>-4</v>
      </c>
      <c r="F17">
        <f>$C$7-$C$6</f>
        <v>-6</v>
      </c>
    </row>
    <row r="18" spans="2:10" x14ac:dyDescent="0.3">
      <c r="B18" t="s">
        <v>25</v>
      </c>
      <c r="C18">
        <f t="shared" si="0"/>
        <v>-5</v>
      </c>
      <c r="D18">
        <v>0</v>
      </c>
      <c r="E18">
        <f>$C$6-$C$4</f>
        <v>-4</v>
      </c>
      <c r="F18">
        <f>$C$7-$C$6</f>
        <v>-6</v>
      </c>
    </row>
    <row r="19" spans="2:10" x14ac:dyDescent="0.3">
      <c r="B19" t="s">
        <v>26</v>
      </c>
      <c r="C19">
        <v>0</v>
      </c>
      <c r="D19">
        <f t="shared" ref="D19:D24" si="1">$C$5</f>
        <v>-8</v>
      </c>
      <c r="E19">
        <f>$C$6-$C$5</f>
        <v>-1</v>
      </c>
      <c r="F19">
        <f>$C$7-$C$6</f>
        <v>-6</v>
      </c>
    </row>
    <row r="20" spans="2:10" x14ac:dyDescent="0.3">
      <c r="B20" t="s">
        <v>27</v>
      </c>
      <c r="C20">
        <v>0</v>
      </c>
      <c r="D20">
        <f t="shared" si="1"/>
        <v>-8</v>
      </c>
      <c r="E20">
        <v>0</v>
      </c>
      <c r="F20">
        <f>$C$7-$C$5</f>
        <v>-7</v>
      </c>
    </row>
    <row r="21" spans="2:10" x14ac:dyDescent="0.3">
      <c r="B21" t="s">
        <v>28</v>
      </c>
      <c r="C21">
        <v>0</v>
      </c>
      <c r="D21">
        <f t="shared" si="1"/>
        <v>-8</v>
      </c>
      <c r="E21">
        <v>0</v>
      </c>
      <c r="F21">
        <f>$C$7-$C$5</f>
        <v>-7</v>
      </c>
    </row>
    <row r="22" spans="2:10" x14ac:dyDescent="0.3">
      <c r="B22" t="s">
        <v>29</v>
      </c>
      <c r="C22">
        <v>0</v>
      </c>
      <c r="D22">
        <f t="shared" si="1"/>
        <v>-8</v>
      </c>
      <c r="E22">
        <v>0</v>
      </c>
      <c r="F22">
        <f>$C$7-$C$5</f>
        <v>-7</v>
      </c>
      <c r="J22" s="2"/>
    </row>
    <row r="23" spans="2:10" x14ac:dyDescent="0.3">
      <c r="B23" t="s">
        <v>30</v>
      </c>
      <c r="C23">
        <v>0</v>
      </c>
      <c r="D23">
        <f t="shared" si="1"/>
        <v>-8</v>
      </c>
      <c r="E23">
        <f>$C$6-$C$5</f>
        <v>-1</v>
      </c>
      <c r="F23">
        <f t="shared" ref="F23:F29" si="2">$C$7-$C$6</f>
        <v>-6</v>
      </c>
    </row>
    <row r="24" spans="2:10" x14ac:dyDescent="0.3">
      <c r="B24" t="s">
        <v>31</v>
      </c>
      <c r="C24">
        <v>0</v>
      </c>
      <c r="D24">
        <f t="shared" si="1"/>
        <v>-8</v>
      </c>
      <c r="E24">
        <f>$C$6-$C$5</f>
        <v>-1</v>
      </c>
      <c r="F24">
        <f t="shared" si="2"/>
        <v>-6</v>
      </c>
    </row>
    <row r="25" spans="2:10" x14ac:dyDescent="0.3">
      <c r="B25" t="s">
        <v>32</v>
      </c>
      <c r="C25">
        <v>0</v>
      </c>
      <c r="D25">
        <v>0</v>
      </c>
      <c r="E25">
        <f t="shared" ref="E25:E30" si="3">$C$6</f>
        <v>-9</v>
      </c>
      <c r="F25">
        <f t="shared" si="2"/>
        <v>-6</v>
      </c>
    </row>
    <row r="26" spans="2:10" x14ac:dyDescent="0.3">
      <c r="B26" t="s">
        <v>33</v>
      </c>
      <c r="C26">
        <v>0</v>
      </c>
      <c r="D26">
        <v>0</v>
      </c>
      <c r="E26">
        <f t="shared" si="3"/>
        <v>-9</v>
      </c>
      <c r="F26">
        <f t="shared" si="2"/>
        <v>-6</v>
      </c>
    </row>
    <row r="27" spans="2:10" x14ac:dyDescent="0.3">
      <c r="B27" t="s">
        <v>34</v>
      </c>
      <c r="C27">
        <v>0</v>
      </c>
      <c r="D27">
        <v>0</v>
      </c>
      <c r="E27">
        <f t="shared" si="3"/>
        <v>-9</v>
      </c>
      <c r="F27">
        <f t="shared" si="2"/>
        <v>-6</v>
      </c>
    </row>
    <row r="28" spans="2:10" x14ac:dyDescent="0.3">
      <c r="B28" t="s">
        <v>35</v>
      </c>
      <c r="C28">
        <v>0</v>
      </c>
      <c r="D28">
        <v>0</v>
      </c>
      <c r="E28">
        <f t="shared" si="3"/>
        <v>-9</v>
      </c>
      <c r="F28">
        <f t="shared" si="2"/>
        <v>-6</v>
      </c>
    </row>
    <row r="29" spans="2:10" x14ac:dyDescent="0.3">
      <c r="B29" t="s">
        <v>36</v>
      </c>
      <c r="C29">
        <v>0</v>
      </c>
      <c r="D29">
        <v>0</v>
      </c>
      <c r="E29">
        <f t="shared" si="3"/>
        <v>-9</v>
      </c>
      <c r="F29">
        <f t="shared" si="2"/>
        <v>-6</v>
      </c>
    </row>
    <row r="30" spans="2:10" x14ac:dyDescent="0.3">
      <c r="B30" t="s">
        <v>37</v>
      </c>
      <c r="C30">
        <v>0</v>
      </c>
      <c r="D30">
        <v>0</v>
      </c>
      <c r="E30">
        <f t="shared" si="3"/>
        <v>-9</v>
      </c>
      <c r="F30">
        <f>$C$7-$C$6</f>
        <v>-6</v>
      </c>
    </row>
    <row r="31" spans="2:10" x14ac:dyDescent="0.3">
      <c r="B31" t="s">
        <v>38</v>
      </c>
      <c r="C31">
        <v>0</v>
      </c>
      <c r="D31">
        <v>0</v>
      </c>
      <c r="E31">
        <v>0</v>
      </c>
      <c r="F31">
        <f t="shared" ref="F31:F36" si="4">$C$7</f>
        <v>-15</v>
      </c>
    </row>
    <row r="32" spans="2:10" x14ac:dyDescent="0.3">
      <c r="B32" t="s">
        <v>39</v>
      </c>
      <c r="C32">
        <v>0</v>
      </c>
      <c r="D32">
        <v>0</v>
      </c>
      <c r="E32">
        <v>0</v>
      </c>
      <c r="F32">
        <f t="shared" si="4"/>
        <v>-15</v>
      </c>
    </row>
    <row r="33" spans="2:6" x14ac:dyDescent="0.3">
      <c r="B33" t="s">
        <v>40</v>
      </c>
      <c r="C33">
        <v>0</v>
      </c>
      <c r="D33">
        <v>0</v>
      </c>
      <c r="E33">
        <v>0</v>
      </c>
      <c r="F33">
        <f t="shared" si="4"/>
        <v>-15</v>
      </c>
    </row>
    <row r="34" spans="2:6" x14ac:dyDescent="0.3">
      <c r="B34" t="s">
        <v>41</v>
      </c>
      <c r="C34">
        <v>0</v>
      </c>
      <c r="D34">
        <v>0</v>
      </c>
      <c r="E34">
        <v>0</v>
      </c>
      <c r="F34">
        <f t="shared" si="4"/>
        <v>-15</v>
      </c>
    </row>
    <row r="35" spans="2:6" x14ac:dyDescent="0.3">
      <c r="B35" t="s">
        <v>42</v>
      </c>
      <c r="C35">
        <v>0</v>
      </c>
      <c r="D35">
        <v>0</v>
      </c>
      <c r="E35">
        <v>0</v>
      </c>
      <c r="F35">
        <f t="shared" si="4"/>
        <v>-15</v>
      </c>
    </row>
    <row r="36" spans="2:6" x14ac:dyDescent="0.3">
      <c r="B36" t="s">
        <v>43</v>
      </c>
      <c r="C36">
        <v>0</v>
      </c>
      <c r="D36">
        <v>0</v>
      </c>
      <c r="E36">
        <v>0</v>
      </c>
      <c r="F36">
        <f t="shared" si="4"/>
        <v>-15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706CB-EAE5-4E26-87F4-1E2E693253A0}">
  <dimension ref="B2:L51"/>
  <sheetViews>
    <sheetView topLeftCell="A3" zoomScale="90" zoomScaleNormal="70" workbookViewId="0">
      <selection activeCell="K26" sqref="K26"/>
    </sheetView>
  </sheetViews>
  <sheetFormatPr defaultRowHeight="14.4" x14ac:dyDescent="0.3"/>
  <cols>
    <col min="5" max="5" width="21.6640625" customWidth="1"/>
  </cols>
  <sheetData>
    <row r="2" spans="2:7" x14ac:dyDescent="0.3">
      <c r="B2" t="s">
        <v>66</v>
      </c>
    </row>
    <row r="4" spans="2:7" x14ac:dyDescent="0.3">
      <c r="B4" t="s">
        <v>48</v>
      </c>
      <c r="C4">
        <v>7</v>
      </c>
      <c r="E4" t="s">
        <v>56</v>
      </c>
    </row>
    <row r="5" spans="2:7" x14ac:dyDescent="0.3">
      <c r="B5" t="s">
        <v>49</v>
      </c>
      <c r="C5">
        <f>1/2</f>
        <v>0.5</v>
      </c>
      <c r="E5" t="s">
        <v>67</v>
      </c>
    </row>
    <row r="6" spans="2:7" x14ac:dyDescent="0.3">
      <c r="B6" t="s">
        <v>50</v>
      </c>
      <c r="C6">
        <f>1/3</f>
        <v>0.33333333333333331</v>
      </c>
      <c r="E6" t="s">
        <v>68</v>
      </c>
    </row>
    <row r="7" spans="2:7" x14ac:dyDescent="0.3">
      <c r="B7" t="s">
        <v>51</v>
      </c>
      <c r="C7">
        <f>1/4</f>
        <v>0.25</v>
      </c>
    </row>
    <row r="8" spans="2:7" x14ac:dyDescent="0.3">
      <c r="B8" t="s">
        <v>52</v>
      </c>
      <c r="C8">
        <f>(1-SUM($C$6:$C$7))/5</f>
        <v>8.3333333333333343E-2</v>
      </c>
      <c r="E8" t="s">
        <v>63</v>
      </c>
    </row>
    <row r="9" spans="2:7" x14ac:dyDescent="0.3">
      <c r="B9" t="s">
        <v>53</v>
      </c>
      <c r="C9">
        <f>(1-SUM($C$6:$C$7))/5</f>
        <v>8.3333333333333343E-2</v>
      </c>
      <c r="E9" t="s">
        <v>57</v>
      </c>
      <c r="F9" t="s">
        <v>58</v>
      </c>
      <c r="G9" t="s">
        <v>59</v>
      </c>
    </row>
    <row r="10" spans="2:7" x14ac:dyDescent="0.3">
      <c r="B10" t="s">
        <v>54</v>
      </c>
      <c r="C10">
        <f>(1-SUM($C$6:$C$7))/5</f>
        <v>8.3333333333333343E-2</v>
      </c>
      <c r="E10" t="s">
        <v>75</v>
      </c>
      <c r="F10">
        <v>2</v>
      </c>
      <c r="G10">
        <f>COMBIN(1,1)</f>
        <v>1</v>
      </c>
    </row>
    <row r="11" spans="2:7" x14ac:dyDescent="0.3">
      <c r="B11" t="s">
        <v>55</v>
      </c>
      <c r="C11">
        <f>(1-SUM($C$6:$C$7))/5</f>
        <v>8.3333333333333343E-2</v>
      </c>
      <c r="E11" t="s">
        <v>82</v>
      </c>
      <c r="F11">
        <v>3</v>
      </c>
      <c r="G11">
        <f>COMBIN(5,1)</f>
        <v>5</v>
      </c>
    </row>
    <row r="12" spans="2:7" x14ac:dyDescent="0.3">
      <c r="B12" t="s">
        <v>62</v>
      </c>
      <c r="C12">
        <f>(1-SUM($C$6:$C$7))/5</f>
        <v>8.3333333333333343E-2</v>
      </c>
      <c r="E12" t="s">
        <v>84</v>
      </c>
      <c r="F12">
        <v>4</v>
      </c>
      <c r="G12">
        <f>COMBIN(5,2)</f>
        <v>10</v>
      </c>
    </row>
    <row r="13" spans="2:7" x14ac:dyDescent="0.3">
      <c r="E13" t="s">
        <v>69</v>
      </c>
      <c r="F13">
        <v>3</v>
      </c>
      <c r="G13">
        <f>COMBIN(5,2)</f>
        <v>10</v>
      </c>
    </row>
    <row r="14" spans="2:7" x14ac:dyDescent="0.3">
      <c r="C14">
        <f>SUM(C6:C12)</f>
        <v>1</v>
      </c>
      <c r="E14" t="s">
        <v>70</v>
      </c>
      <c r="F14">
        <v>4</v>
      </c>
      <c r="G14">
        <f>COMBIN(5,3)</f>
        <v>10</v>
      </c>
    </row>
    <row r="15" spans="2:7" x14ac:dyDescent="0.3">
      <c r="B15" t="s">
        <v>64</v>
      </c>
      <c r="C15">
        <f>SUM(C7:C10)</f>
        <v>0.50000000000000011</v>
      </c>
      <c r="E15" t="s">
        <v>72</v>
      </c>
      <c r="F15">
        <v>5</v>
      </c>
      <c r="G15">
        <f>COMBIN(5,4)</f>
        <v>5</v>
      </c>
    </row>
    <row r="16" spans="2:7" x14ac:dyDescent="0.3">
      <c r="B16" t="s">
        <v>65</v>
      </c>
      <c r="C16">
        <f>SUM(C8:C12)</f>
        <v>0.41666666666666674</v>
      </c>
      <c r="E16" t="s">
        <v>73</v>
      </c>
      <c r="F16">
        <v>6</v>
      </c>
      <c r="G16">
        <v>1</v>
      </c>
    </row>
    <row r="17" spans="2:7" x14ac:dyDescent="0.3">
      <c r="B17" t="s">
        <v>71</v>
      </c>
      <c r="C17">
        <f>SUM(C6,C8:C9)</f>
        <v>0.5</v>
      </c>
    </row>
    <row r="18" spans="2:7" x14ac:dyDescent="0.3">
      <c r="E18">
        <f t="shared" ref="E18:E24" si="0">G10*(FACT(F10-1)*FACT($C$4-F10))/FACT($C$4)</f>
        <v>2.3809523809523808E-2</v>
      </c>
    </row>
    <row r="19" spans="2:7" x14ac:dyDescent="0.3">
      <c r="C19">
        <f>SUM(C7,C8:C10)</f>
        <v>0.50000000000000011</v>
      </c>
      <c r="E19">
        <f t="shared" si="0"/>
        <v>4.7619047619047616E-2</v>
      </c>
    </row>
    <row r="20" spans="2:7" x14ac:dyDescent="0.3">
      <c r="E20">
        <f t="shared" si="0"/>
        <v>7.1428571428571425E-2</v>
      </c>
    </row>
    <row r="21" spans="2:7" x14ac:dyDescent="0.3">
      <c r="E21">
        <f t="shared" si="0"/>
        <v>9.5238095238095233E-2</v>
      </c>
      <c r="G21">
        <f>SUM(E18:E24)</f>
        <v>0.38095238095238093</v>
      </c>
    </row>
    <row r="22" spans="2:7" x14ac:dyDescent="0.3">
      <c r="E22">
        <f t="shared" si="0"/>
        <v>7.1428571428571425E-2</v>
      </c>
    </row>
    <row r="23" spans="2:7" x14ac:dyDescent="0.3">
      <c r="E23">
        <f t="shared" si="0"/>
        <v>4.7619047619047616E-2</v>
      </c>
    </row>
    <row r="24" spans="2:7" x14ac:dyDescent="0.3">
      <c r="E24">
        <f t="shared" si="0"/>
        <v>2.3809523809523808E-2</v>
      </c>
    </row>
    <row r="26" spans="2:7" x14ac:dyDescent="0.3">
      <c r="E26" t="s">
        <v>60</v>
      </c>
    </row>
    <row r="27" spans="2:7" x14ac:dyDescent="0.3">
      <c r="E27" t="s">
        <v>74</v>
      </c>
      <c r="F27">
        <v>2</v>
      </c>
      <c r="G27">
        <f>COMBIN(1,1)</f>
        <v>1</v>
      </c>
    </row>
    <row r="28" spans="2:7" x14ac:dyDescent="0.3">
      <c r="E28" t="s">
        <v>83</v>
      </c>
      <c r="F28">
        <v>3</v>
      </c>
      <c r="G28">
        <v>5</v>
      </c>
    </row>
    <row r="29" spans="2:7" x14ac:dyDescent="0.3">
      <c r="E29" t="s">
        <v>76</v>
      </c>
      <c r="F29">
        <v>4</v>
      </c>
      <c r="G29">
        <f>COMBIN(5,3)</f>
        <v>10</v>
      </c>
    </row>
    <row r="30" spans="2:7" x14ac:dyDescent="0.3">
      <c r="E30" t="s">
        <v>77</v>
      </c>
      <c r="F30">
        <v>5</v>
      </c>
      <c r="G30">
        <f>COMBIN(5,4)</f>
        <v>5</v>
      </c>
    </row>
    <row r="31" spans="2:7" x14ac:dyDescent="0.3">
      <c r="E31" t="s">
        <v>78</v>
      </c>
      <c r="F31">
        <v>6</v>
      </c>
      <c r="G31">
        <v>1</v>
      </c>
    </row>
    <row r="33" spans="2:7" x14ac:dyDescent="0.3">
      <c r="B33" t="s">
        <v>79</v>
      </c>
      <c r="E33">
        <f>G27*(FACT(F27-1)*FACT($C$4-F27))/FACT($C$4)</f>
        <v>2.3809523809523808E-2</v>
      </c>
    </row>
    <row r="34" spans="2:7" x14ac:dyDescent="0.3">
      <c r="E34">
        <f>G28*(FACT(F28-1)*FACT($C$4-F28))/FACT($C$4)</f>
        <v>4.7619047619047616E-2</v>
      </c>
      <c r="G34">
        <f>SUM(E33:E37)</f>
        <v>0.21428571428571427</v>
      </c>
    </row>
    <row r="35" spans="2:7" x14ac:dyDescent="0.3">
      <c r="E35">
        <f>G29*(FACT(F29-1)*FACT($C$4-F29))/FACT($C$4)</f>
        <v>7.1428571428571425E-2</v>
      </c>
    </row>
    <row r="36" spans="2:7" x14ac:dyDescent="0.3">
      <c r="E36">
        <f>G30*(FACT(F30-1)*FACT($C$4-F30))/FACT($C$4)</f>
        <v>4.7619047619047616E-2</v>
      </c>
    </row>
    <row r="37" spans="2:7" x14ac:dyDescent="0.3">
      <c r="E37">
        <f>G31*(FACT(F31-1)*FACT($C$4-F31))/FACT($C$4)</f>
        <v>2.3809523809523808E-2</v>
      </c>
    </row>
    <row r="39" spans="2:7" x14ac:dyDescent="0.3">
      <c r="E39" t="s">
        <v>61</v>
      </c>
    </row>
    <row r="40" spans="2:7" x14ac:dyDescent="0.3">
      <c r="E40" t="s">
        <v>80</v>
      </c>
      <c r="F40">
        <v>3</v>
      </c>
      <c r="G40">
        <f>COMBIN(4,1)</f>
        <v>4</v>
      </c>
    </row>
    <row r="41" spans="2:7" x14ac:dyDescent="0.3">
      <c r="E41" t="s">
        <v>81</v>
      </c>
      <c r="F41">
        <v>4</v>
      </c>
      <c r="G41">
        <f>COMBIN(4,2)</f>
        <v>6</v>
      </c>
    </row>
    <row r="43" spans="2:7" x14ac:dyDescent="0.3">
      <c r="E43">
        <f>G40*(FACT(F40-1)*FACT($C$4-F40))/FACT($C$4)</f>
        <v>3.8095238095238099E-2</v>
      </c>
    </row>
    <row r="44" spans="2:7" x14ac:dyDescent="0.3">
      <c r="E44">
        <f>G41*(FACT(F41-1)*FACT($C$4-F41))/FACT($C$4)</f>
        <v>4.2857142857142858E-2</v>
      </c>
      <c r="G44">
        <f>SUM(E43:E44)</f>
        <v>8.0952380952380956E-2</v>
      </c>
    </row>
    <row r="50" spans="4:12" x14ac:dyDescent="0.3">
      <c r="D50">
        <v>1</v>
      </c>
      <c r="E50">
        <v>2</v>
      </c>
      <c r="F50">
        <v>3</v>
      </c>
      <c r="G50">
        <v>4</v>
      </c>
      <c r="H50">
        <v>5</v>
      </c>
      <c r="I50">
        <v>6</v>
      </c>
      <c r="J50">
        <v>7</v>
      </c>
    </row>
    <row r="51" spans="4:12" x14ac:dyDescent="0.3">
      <c r="D51" s="3">
        <f>$G$21</f>
        <v>0.38095238095238093</v>
      </c>
      <c r="E51" s="3">
        <f>$G$34</f>
        <v>0.21428571428571427</v>
      </c>
      <c r="F51" s="3">
        <f>$G$44</f>
        <v>8.0952380952380956E-2</v>
      </c>
      <c r="G51" s="3">
        <f>$G$44</f>
        <v>8.0952380952380956E-2</v>
      </c>
      <c r="H51" s="3">
        <f>$G$44</f>
        <v>8.0952380952380956E-2</v>
      </c>
      <c r="I51" s="3">
        <f>$G$44</f>
        <v>8.0952380952380956E-2</v>
      </c>
      <c r="J51" s="3">
        <f>$G$44</f>
        <v>8.0952380952380956E-2</v>
      </c>
      <c r="L51" s="4">
        <f>SUM(D51:J51)</f>
        <v>1.0000000000000002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Вектор Шéпли</vt:lpstr>
      <vt:lpstr>С-ядро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Evgenii</dc:creator>
  <cp:lastModifiedBy>Владимир Игнатенко</cp:lastModifiedBy>
  <dcterms:created xsi:type="dcterms:W3CDTF">2015-06-05T18:19:34Z</dcterms:created>
  <dcterms:modified xsi:type="dcterms:W3CDTF">2024-12-04T11:14:23Z</dcterms:modified>
</cp:coreProperties>
</file>